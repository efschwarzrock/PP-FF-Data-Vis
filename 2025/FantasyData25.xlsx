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schwarzrock\Desktop\JavaScriptProj\D3 - Copy\"/>
    </mc:Choice>
  </mc:AlternateContent>
  <xr:revisionPtr revIDLastSave="0" documentId="13_ncr:1_{C354E652-D956-4685-BCED-E9A61858B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oints off perfect" sheetId="2" r:id="rId2"/>
    <sheet name="PFP" sheetId="4" r:id="rId3"/>
    <sheet name="injuri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0" i="1" l="1"/>
  <c r="AX80" i="1"/>
  <c r="AY80" i="1"/>
  <c r="AY81" i="1" s="1"/>
  <c r="AY82" i="1" s="1"/>
  <c r="AY83" i="1" s="1"/>
  <c r="AY84" i="1" s="1"/>
  <c r="AY85" i="1" s="1"/>
  <c r="AY86" i="1" s="1"/>
  <c r="AY87" i="1" s="1"/>
  <c r="AZ80" i="1"/>
  <c r="AZ81" i="1" s="1"/>
  <c r="AZ82" i="1" s="1"/>
  <c r="AZ83" i="1" s="1"/>
  <c r="AZ84" i="1" s="1"/>
  <c r="AZ85" i="1" s="1"/>
  <c r="AZ86" i="1" s="1"/>
  <c r="AZ87" i="1" s="1"/>
  <c r="BA80" i="1"/>
  <c r="BB80" i="1"/>
  <c r="BC80" i="1"/>
  <c r="BC81" i="1" s="1"/>
  <c r="BC82" i="1" s="1"/>
  <c r="BC83" i="1" s="1"/>
  <c r="BC84" i="1" s="1"/>
  <c r="BC85" i="1" s="1"/>
  <c r="BC86" i="1" s="1"/>
  <c r="BC87" i="1" s="1"/>
  <c r="BD80" i="1"/>
  <c r="BE80" i="1"/>
  <c r="BE81" i="1" s="1"/>
  <c r="BE82" i="1" s="1"/>
  <c r="BE83" i="1" s="1"/>
  <c r="BE84" i="1" s="1"/>
  <c r="BE85" i="1" s="1"/>
  <c r="BE86" i="1" s="1"/>
  <c r="BE87" i="1" s="1"/>
  <c r="BF80" i="1"/>
  <c r="BG80" i="1"/>
  <c r="BG81" i="1" s="1"/>
  <c r="BG82" i="1" s="1"/>
  <c r="BG83" i="1" s="1"/>
  <c r="BG84" i="1" s="1"/>
  <c r="BG85" i="1" s="1"/>
  <c r="BG86" i="1" s="1"/>
  <c r="BG87" i="1" s="1"/>
  <c r="BH80" i="1"/>
  <c r="BH81" i="1" s="1"/>
  <c r="BH82" i="1" s="1"/>
  <c r="BH83" i="1" s="1"/>
  <c r="BH84" i="1" s="1"/>
  <c r="BH85" i="1" s="1"/>
  <c r="BH86" i="1" s="1"/>
  <c r="BH87" i="1" s="1"/>
  <c r="BI80" i="1"/>
  <c r="BI81" i="1" s="1"/>
  <c r="BI82" i="1" s="1"/>
  <c r="BI83" i="1" s="1"/>
  <c r="BI84" i="1" s="1"/>
  <c r="BI85" i="1" s="1"/>
  <c r="BI86" i="1" s="1"/>
  <c r="BI87" i="1" s="1"/>
  <c r="BJ80" i="1"/>
  <c r="AW81" i="1"/>
  <c r="AX81" i="1"/>
  <c r="AX82" i="1" s="1"/>
  <c r="AX83" i="1" s="1"/>
  <c r="AX84" i="1" s="1"/>
  <c r="AX85" i="1" s="1"/>
  <c r="AX86" i="1" s="1"/>
  <c r="AX87" i="1" s="1"/>
  <c r="BA81" i="1"/>
  <c r="BA82" i="1" s="1"/>
  <c r="BA83" i="1" s="1"/>
  <c r="BA84" i="1" s="1"/>
  <c r="BA85" i="1" s="1"/>
  <c r="BA86" i="1" s="1"/>
  <c r="BA87" i="1" s="1"/>
  <c r="BB81" i="1"/>
  <c r="BB82" i="1" s="1"/>
  <c r="BB83" i="1" s="1"/>
  <c r="BB84" i="1" s="1"/>
  <c r="BB85" i="1" s="1"/>
  <c r="BB86" i="1" s="1"/>
  <c r="BB87" i="1" s="1"/>
  <c r="BD81" i="1"/>
  <c r="BF81" i="1"/>
  <c r="BJ81" i="1"/>
  <c r="BJ82" i="1" s="1"/>
  <c r="BJ83" i="1" s="1"/>
  <c r="BJ84" i="1" s="1"/>
  <c r="BJ85" i="1" s="1"/>
  <c r="BJ86" i="1" s="1"/>
  <c r="BJ87" i="1" s="1"/>
  <c r="AW82" i="1"/>
  <c r="AW83" i="1" s="1"/>
  <c r="AW84" i="1" s="1"/>
  <c r="AW85" i="1" s="1"/>
  <c r="AW86" i="1" s="1"/>
  <c r="AW87" i="1" s="1"/>
  <c r="BD82" i="1"/>
  <c r="BD83" i="1" s="1"/>
  <c r="BD84" i="1" s="1"/>
  <c r="BD85" i="1" s="1"/>
  <c r="BD86" i="1" s="1"/>
  <c r="BD87" i="1" s="1"/>
  <c r="BF82" i="1"/>
  <c r="BF83" i="1"/>
  <c r="BF84" i="1" s="1"/>
  <c r="BF85" i="1" s="1"/>
  <c r="BF86" i="1" s="1"/>
  <c r="BF87" i="1" s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AW79" i="1"/>
  <c r="R150" i="1" l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C43" i="1"/>
  <c r="C44" i="1"/>
  <c r="C45" i="1"/>
  <c r="C46" i="1"/>
  <c r="C47" i="1"/>
  <c r="C48" i="1"/>
  <c r="C49" i="1"/>
  <c r="C50" i="1"/>
  <c r="C51" i="1"/>
  <c r="C42" i="1"/>
  <c r="M29" i="1"/>
  <c r="N26" i="1"/>
  <c r="O26" i="1"/>
  <c r="M26" i="1"/>
  <c r="O30" i="1"/>
  <c r="P30" i="1"/>
  <c r="M33" i="1"/>
  <c r="N33" i="1"/>
  <c r="O33" i="1"/>
  <c r="P33" i="1"/>
  <c r="M34" i="1"/>
  <c r="M131" i="1" s="1" a="1"/>
  <c r="M131" i="1" s="1"/>
  <c r="N34" i="1"/>
  <c r="O34" i="1"/>
  <c r="P34" i="1"/>
  <c r="M37" i="1"/>
  <c r="O37" i="1"/>
  <c r="P37" i="1"/>
  <c r="M38" i="1"/>
  <c r="N38" i="1"/>
  <c r="O38" i="1"/>
  <c r="L30" i="1"/>
  <c r="L32" i="1"/>
  <c r="L34" i="1"/>
  <c r="B176" i="1"/>
  <c r="B177" i="1"/>
  <c r="B178" i="1"/>
  <c r="B179" i="1"/>
  <c r="B180" i="1"/>
  <c r="B181" i="1"/>
  <c r="B182" i="1"/>
  <c r="B183" i="1"/>
  <c r="B184" i="1"/>
  <c r="B175" i="1"/>
  <c r="B164" i="1"/>
  <c r="B165" i="1"/>
  <c r="B166" i="1"/>
  <c r="B167" i="1"/>
  <c r="B168" i="1"/>
  <c r="B169" i="1"/>
  <c r="B170" i="1"/>
  <c r="B171" i="1"/>
  <c r="B172" i="1"/>
  <c r="B163" i="1"/>
  <c r="B151" i="1"/>
  <c r="B152" i="1"/>
  <c r="B153" i="1"/>
  <c r="B154" i="1"/>
  <c r="B155" i="1"/>
  <c r="B156" i="1"/>
  <c r="B157" i="1"/>
  <c r="B158" i="1"/>
  <c r="B159" i="1"/>
  <c r="B150" i="1"/>
  <c r="B139" i="1"/>
  <c r="B140" i="1"/>
  <c r="B141" i="1"/>
  <c r="B142" i="1"/>
  <c r="B143" i="1"/>
  <c r="B144" i="1"/>
  <c r="B145" i="1"/>
  <c r="B146" i="1"/>
  <c r="B147" i="1"/>
  <c r="B138" i="1"/>
  <c r="B127" i="1"/>
  <c r="B128" i="1"/>
  <c r="B129" i="1"/>
  <c r="B130" i="1"/>
  <c r="B131" i="1"/>
  <c r="B132" i="1"/>
  <c r="B133" i="1"/>
  <c r="B134" i="1"/>
  <c r="B135" i="1"/>
  <c r="B126" i="1"/>
  <c r="B115" i="1"/>
  <c r="B116" i="1"/>
  <c r="B117" i="1"/>
  <c r="B118" i="1"/>
  <c r="B119" i="1"/>
  <c r="B120" i="1"/>
  <c r="B121" i="1"/>
  <c r="B122" i="1"/>
  <c r="B123" i="1"/>
  <c r="B114" i="1"/>
  <c r="B103" i="1"/>
  <c r="B104" i="1"/>
  <c r="B105" i="1"/>
  <c r="B106" i="1"/>
  <c r="B107" i="1"/>
  <c r="B108" i="1"/>
  <c r="B109" i="1"/>
  <c r="B110" i="1"/>
  <c r="B111" i="1"/>
  <c r="B102" i="1"/>
  <c r="B91" i="1"/>
  <c r="B92" i="1"/>
  <c r="B93" i="1"/>
  <c r="B94" i="1"/>
  <c r="B95" i="1"/>
  <c r="B96" i="1"/>
  <c r="B97" i="1"/>
  <c r="B98" i="1"/>
  <c r="B99" i="1"/>
  <c r="B90" i="1"/>
  <c r="B67" i="1"/>
  <c r="B68" i="1"/>
  <c r="B69" i="1"/>
  <c r="B70" i="1"/>
  <c r="B71" i="1"/>
  <c r="B72" i="1"/>
  <c r="B73" i="1"/>
  <c r="B74" i="1"/>
  <c r="B75" i="1"/>
  <c r="B66" i="1"/>
  <c r="B55" i="1"/>
  <c r="B56" i="1"/>
  <c r="B57" i="1"/>
  <c r="B58" i="1"/>
  <c r="B59" i="1"/>
  <c r="B60" i="1"/>
  <c r="B61" i="1"/>
  <c r="B62" i="1"/>
  <c r="B63" i="1"/>
  <c r="B43" i="1"/>
  <c r="B44" i="1"/>
  <c r="B45" i="1"/>
  <c r="B46" i="1"/>
  <c r="B47" i="1"/>
  <c r="B48" i="1"/>
  <c r="B49" i="1"/>
  <c r="B50" i="1"/>
  <c r="B51" i="1"/>
  <c r="B42" i="1"/>
  <c r="B54" i="1"/>
  <c r="B30" i="1"/>
  <c r="B31" i="1"/>
  <c r="B32" i="1"/>
  <c r="B33" i="1"/>
  <c r="B34" i="1"/>
  <c r="B35" i="1"/>
  <c r="B36" i="1"/>
  <c r="B37" i="1"/>
  <c r="B38" i="1"/>
  <c r="B29" i="1"/>
  <c r="B25" i="1"/>
  <c r="B17" i="1"/>
  <c r="B18" i="1"/>
  <c r="B19" i="1"/>
  <c r="B20" i="1"/>
  <c r="B21" i="1"/>
  <c r="B22" i="1"/>
  <c r="B23" i="1"/>
  <c r="B24" i="1"/>
  <c r="B16" i="1"/>
  <c r="BQ26" i="4"/>
  <c r="BR26" i="4"/>
  <c r="BS26" i="4"/>
  <c r="BT26" i="4"/>
  <c r="BU26" i="4"/>
  <c r="BV26" i="4"/>
  <c r="BP26" i="4"/>
  <c r="BI52" i="4"/>
  <c r="BJ52" i="4"/>
  <c r="BK52" i="4"/>
  <c r="BL52" i="4"/>
  <c r="BM52" i="4"/>
  <c r="BN52" i="4"/>
  <c r="BH52" i="4"/>
  <c r="BI27" i="4"/>
  <c r="BJ27" i="4"/>
  <c r="BK27" i="4"/>
  <c r="BL27" i="4"/>
  <c r="BM27" i="4"/>
  <c r="BN27" i="4"/>
  <c r="BH27" i="4"/>
  <c r="BI26" i="4"/>
  <c r="BJ26" i="4"/>
  <c r="BK26" i="4"/>
  <c r="BL26" i="4"/>
  <c r="BM26" i="4"/>
  <c r="BN26" i="4"/>
  <c r="BH26" i="4"/>
  <c r="BL23" i="4"/>
  <c r="BM23" i="4"/>
  <c r="BK23" i="4"/>
  <c r="AU28" i="4"/>
  <c r="AV28" i="4"/>
  <c r="AW28" i="4"/>
  <c r="AX28" i="4"/>
  <c r="AY28" i="4"/>
  <c r="AZ28" i="4"/>
  <c r="BA28" i="4"/>
  <c r="BB28" i="4"/>
  <c r="BC28" i="4"/>
  <c r="AT28" i="4"/>
  <c r="AU24" i="4"/>
  <c r="AV24" i="4"/>
  <c r="AW24" i="4"/>
  <c r="AX24" i="4"/>
  <c r="AY24" i="4"/>
  <c r="AZ24" i="4"/>
  <c r="BA24" i="4"/>
  <c r="BB24" i="4"/>
  <c r="BC24" i="4"/>
  <c r="AT24" i="4"/>
  <c r="AI24" i="4" a="1"/>
  <c r="AI24" i="4" s="1"/>
  <c r="AJ24" i="4" a="1"/>
  <c r="AJ24" i="4" s="1"/>
  <c r="AK24" i="4" a="1"/>
  <c r="AK24" i="4" s="1"/>
  <c r="AL24" i="4" a="1"/>
  <c r="AL24" i="4"/>
  <c r="AM24" i="4" a="1"/>
  <c r="AM24" i="4" s="1"/>
  <c r="AN24" i="4" a="1"/>
  <c r="AN24" i="4" s="1"/>
  <c r="AO24" i="4" a="1"/>
  <c r="AO24" i="4" s="1"/>
  <c r="AP24" i="4" a="1"/>
  <c r="AP24" i="4" s="1"/>
  <c r="AQ24" i="4" a="1"/>
  <c r="AQ24" i="4" s="1"/>
  <c r="Y24" i="4" a="1"/>
  <c r="Y24" i="4" s="1"/>
  <c r="Z24" i="4" a="1"/>
  <c r="Z24" i="4" s="1"/>
  <c r="AA24" i="4" a="1"/>
  <c r="AA24" i="4" s="1"/>
  <c r="AB24" i="4" a="1"/>
  <c r="AB24" i="4" s="1"/>
  <c r="AC24" i="4" a="1"/>
  <c r="AC24" i="4"/>
  <c r="AD24" i="4" a="1"/>
  <c r="AD24" i="4"/>
  <c r="AE24" i="4" a="1"/>
  <c r="AE24" i="4" s="1"/>
  <c r="AF24" i="4" a="1"/>
  <c r="AF24" i="4" s="1"/>
  <c r="AG24" i="4" a="1"/>
  <c r="AG24" i="4"/>
  <c r="AH24" i="4" a="1"/>
  <c r="AH24" i="4" s="1"/>
  <c r="X24" i="4" a="1"/>
  <c r="X24" i="4" s="1"/>
  <c r="R25" i="4"/>
  <c r="S25" i="4" s="1" a="1"/>
  <c r="S25" i="4" s="1"/>
  <c r="K25" i="4" s="1"/>
  <c r="H77" i="4"/>
  <c r="H78" i="4"/>
  <c r="H80" i="4"/>
  <c r="H81" i="4"/>
  <c r="H83" i="4"/>
  <c r="H84" i="4"/>
  <c r="H86" i="4"/>
  <c r="H87" i="4"/>
  <c r="H89" i="4"/>
  <c r="H90" i="4"/>
  <c r="H92" i="4"/>
  <c r="H93" i="4"/>
  <c r="H95" i="4"/>
  <c r="H96" i="4"/>
  <c r="H98" i="4"/>
  <c r="H99" i="4"/>
  <c r="H101" i="4"/>
  <c r="H102" i="4"/>
  <c r="H103" i="4"/>
  <c r="H105" i="4"/>
  <c r="H106" i="4"/>
  <c r="H108" i="4"/>
  <c r="H109" i="4"/>
  <c r="H111" i="4"/>
  <c r="H112" i="4"/>
  <c r="H114" i="4"/>
  <c r="H115" i="4"/>
  <c r="H117" i="4"/>
  <c r="H118" i="4"/>
  <c r="H120" i="4"/>
  <c r="H121" i="4"/>
  <c r="H123" i="4"/>
  <c r="H124" i="4"/>
  <c r="H126" i="4"/>
  <c r="H127" i="4"/>
  <c r="H26" i="4"/>
  <c r="H27" i="4"/>
  <c r="H29" i="4"/>
  <c r="H30" i="4"/>
  <c r="H32" i="4"/>
  <c r="H33" i="4"/>
  <c r="H35" i="4"/>
  <c r="H36" i="4"/>
  <c r="H38" i="4"/>
  <c r="H39" i="4"/>
  <c r="H41" i="4"/>
  <c r="H42" i="4"/>
  <c r="H44" i="4"/>
  <c r="H45" i="4"/>
  <c r="H47" i="4"/>
  <c r="H48" i="4"/>
  <c r="H50" i="4"/>
  <c r="H51" i="4"/>
  <c r="H54" i="4"/>
  <c r="H57" i="4"/>
  <c r="H60" i="4"/>
  <c r="H63" i="4"/>
  <c r="H66" i="4"/>
  <c r="H69" i="4"/>
  <c r="H72" i="4"/>
  <c r="H74" i="4"/>
  <c r="H75" i="4"/>
  <c r="H25" i="4"/>
  <c r="G47" i="2"/>
  <c r="D81" i="2" s="1"/>
  <c r="Q5" i="2"/>
  <c r="A82" i="2"/>
  <c r="F81" i="2"/>
  <c r="F82" i="2"/>
  <c r="F84" i="2"/>
  <c r="F85" i="2"/>
  <c r="F87" i="2"/>
  <c r="F88" i="2"/>
  <c r="F90" i="2"/>
  <c r="F91" i="2"/>
  <c r="F93" i="2"/>
  <c r="F94" i="2"/>
  <c r="F96" i="2"/>
  <c r="F97" i="2"/>
  <c r="E81" i="2"/>
  <c r="B82" i="2"/>
  <c r="C82" i="2"/>
  <c r="D82" i="2"/>
  <c r="E82" i="2"/>
  <c r="B84" i="2"/>
  <c r="C84" i="2"/>
  <c r="D84" i="2"/>
  <c r="E84" i="2"/>
  <c r="B85" i="2"/>
  <c r="C85" i="2"/>
  <c r="D85" i="2"/>
  <c r="E85" i="2"/>
  <c r="B87" i="2"/>
  <c r="C87" i="2"/>
  <c r="D87" i="2"/>
  <c r="E87" i="2"/>
  <c r="B88" i="2"/>
  <c r="C88" i="2"/>
  <c r="D88" i="2"/>
  <c r="E88" i="2"/>
  <c r="B90" i="2"/>
  <c r="C90" i="2"/>
  <c r="D90" i="2"/>
  <c r="E90" i="2"/>
  <c r="B91" i="2"/>
  <c r="C91" i="2"/>
  <c r="D91" i="2"/>
  <c r="E91" i="2"/>
  <c r="B93" i="2"/>
  <c r="C93" i="2"/>
  <c r="D93" i="2"/>
  <c r="E93" i="2"/>
  <c r="B94" i="2"/>
  <c r="C94" i="2"/>
  <c r="D94" i="2"/>
  <c r="E94" i="2"/>
  <c r="B96" i="2"/>
  <c r="C96" i="2"/>
  <c r="D96" i="2"/>
  <c r="E96" i="2"/>
  <c r="B97" i="2"/>
  <c r="C97" i="2"/>
  <c r="D97" i="2"/>
  <c r="E97" i="2"/>
  <c r="A81" i="2"/>
  <c r="A84" i="2"/>
  <c r="A85" i="2"/>
  <c r="A87" i="2"/>
  <c r="A88" i="2"/>
  <c r="A90" i="2"/>
  <c r="A91" i="2"/>
  <c r="A93" i="2"/>
  <c r="A94" i="2"/>
  <c r="A96" i="2"/>
  <c r="A97" i="2"/>
  <c r="G57" i="2"/>
  <c r="C80" i="2" s="1"/>
  <c r="G75" i="2"/>
  <c r="A98" i="2" s="1"/>
  <c r="G72" i="2"/>
  <c r="F95" i="2" s="1"/>
  <c r="G69" i="2"/>
  <c r="B92" i="2" s="1"/>
  <c r="G66" i="2"/>
  <c r="E89" i="2" s="1"/>
  <c r="G63" i="2"/>
  <c r="A86" i="2" s="1"/>
  <c r="G60" i="2"/>
  <c r="D83" i="2" s="1"/>
  <c r="I69" i="2"/>
  <c r="P1" i="2" s="1"/>
  <c r="J70" i="2"/>
  <c r="Q2" i="2" s="1"/>
  <c r="I70" i="2"/>
  <c r="P2" i="2" s="1"/>
  <c r="J71" i="2"/>
  <c r="Q3" i="2" s="1"/>
  <c r="I71" i="2"/>
  <c r="P3" i="2" s="1"/>
  <c r="I72" i="2"/>
  <c r="P4" i="2" s="1"/>
  <c r="I73" i="2"/>
  <c r="P5" i="2" s="1"/>
  <c r="I74" i="2"/>
  <c r="P6" i="2" s="1"/>
  <c r="I75" i="2"/>
  <c r="P7" i="2" s="1"/>
  <c r="AB11" i="2"/>
  <c r="AA11" i="2"/>
  <c r="Q12" i="2"/>
  <c r="E2" i="2"/>
  <c r="E17" i="2" s="1"/>
  <c r="K2" i="2"/>
  <c r="F2" i="2"/>
  <c r="H2" i="2"/>
  <c r="G2" i="2"/>
  <c r="E175" i="1"/>
  <c r="E163" i="1"/>
  <c r="K17" i="2"/>
  <c r="J17" i="2"/>
  <c r="I17" i="2"/>
  <c r="H17" i="2"/>
  <c r="G17" i="2"/>
  <c r="F17" i="2"/>
  <c r="C17" i="2"/>
  <c r="D17" i="2"/>
  <c r="B17" i="2"/>
  <c r="D69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F117" i="1" s="1"/>
  <c r="C117" i="1" s="1"/>
  <c r="D70" i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F118" i="1" s="1"/>
  <c r="C118" i="1" s="1"/>
  <c r="D72" i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F120" i="1" s="1"/>
  <c r="C120" i="1" s="1"/>
  <c r="D66" i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F114" i="1" s="1"/>
  <c r="C114" i="1" s="1"/>
  <c r="C67" i="1"/>
  <c r="D67" i="1" s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F115" i="1" s="1"/>
  <c r="C115" i="1" s="1"/>
  <c r="C68" i="1"/>
  <c r="D68" i="1" s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F116" i="1" s="1"/>
  <c r="C116" i="1" s="1"/>
  <c r="C69" i="1"/>
  <c r="C70" i="1"/>
  <c r="C71" i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F119" i="1" s="1"/>
  <c r="C119" i="1" s="1"/>
  <c r="C72" i="1"/>
  <c r="C73" i="1"/>
  <c r="D73" i="1" s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F121" i="1" s="1"/>
  <c r="C121" i="1" s="1"/>
  <c r="C74" i="1"/>
  <c r="D74" i="1" s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F122" i="1" s="1"/>
  <c r="C122" i="1" s="1"/>
  <c r="C75" i="1"/>
  <c r="D75" i="1" s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F123" i="1" s="1"/>
  <c r="C123" i="1" s="1"/>
  <c r="C66" i="1"/>
  <c r="D29" i="1"/>
  <c r="E29" i="1"/>
  <c r="F29" i="1"/>
  <c r="G29" i="1"/>
  <c r="H29" i="1"/>
  <c r="I29" i="1"/>
  <c r="J29" i="1"/>
  <c r="K29" i="1"/>
  <c r="L29" i="1"/>
  <c r="N29" i="1"/>
  <c r="D30" i="1"/>
  <c r="E30" i="1"/>
  <c r="F30" i="1"/>
  <c r="G30" i="1"/>
  <c r="H30" i="1"/>
  <c r="I30" i="1"/>
  <c r="J30" i="1"/>
  <c r="K30" i="1"/>
  <c r="N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D32" i="1"/>
  <c r="E32" i="1"/>
  <c r="F32" i="1"/>
  <c r="G32" i="1"/>
  <c r="H32" i="1"/>
  <c r="I32" i="1"/>
  <c r="J32" i="1"/>
  <c r="K32" i="1"/>
  <c r="M32" i="1"/>
  <c r="N32" i="1"/>
  <c r="O32" i="1"/>
  <c r="P32" i="1"/>
  <c r="D33" i="1"/>
  <c r="E33" i="1"/>
  <c r="F33" i="1"/>
  <c r="G33" i="1"/>
  <c r="H33" i="1"/>
  <c r="I33" i="1"/>
  <c r="J33" i="1"/>
  <c r="K33" i="1"/>
  <c r="L33" i="1"/>
  <c r="D34" i="1"/>
  <c r="D131" i="1" s="1" a="1"/>
  <c r="D131" i="1" s="1"/>
  <c r="E34" i="1"/>
  <c r="F34" i="1"/>
  <c r="G34" i="1"/>
  <c r="H34" i="1"/>
  <c r="I34" i="1"/>
  <c r="J34" i="1"/>
  <c r="K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D37" i="1"/>
  <c r="E37" i="1"/>
  <c r="F37" i="1"/>
  <c r="G37" i="1"/>
  <c r="H37" i="1"/>
  <c r="I37" i="1"/>
  <c r="J37" i="1"/>
  <c r="K37" i="1"/>
  <c r="L37" i="1"/>
  <c r="N37" i="1"/>
  <c r="D38" i="1"/>
  <c r="E38" i="1"/>
  <c r="F38" i="1"/>
  <c r="G38" i="1"/>
  <c r="H38" i="1"/>
  <c r="I38" i="1"/>
  <c r="J38" i="1"/>
  <c r="K38" i="1"/>
  <c r="L38" i="1"/>
  <c r="P38" i="1"/>
  <c r="C30" i="1"/>
  <c r="C31" i="1"/>
  <c r="C56" i="1" s="1"/>
  <c r="C32" i="1"/>
  <c r="C57" i="1" s="1"/>
  <c r="C33" i="1"/>
  <c r="C34" i="1"/>
  <c r="C59" i="1" s="1"/>
  <c r="C35" i="1"/>
  <c r="C60" i="1" s="1"/>
  <c r="C36" i="1"/>
  <c r="C37" i="1"/>
  <c r="C38" i="1"/>
  <c r="C29" i="1"/>
  <c r="Q3" i="1"/>
  <c r="Q4" i="1"/>
  <c r="Q5" i="1"/>
  <c r="Q6" i="1"/>
  <c r="Q7" i="1"/>
  <c r="Q8" i="1"/>
  <c r="Q9" i="1"/>
  <c r="Q10" i="1"/>
  <c r="Q11" i="1"/>
  <c r="Q2" i="1"/>
  <c r="K26" i="1"/>
  <c r="D26" i="1"/>
  <c r="E26" i="1"/>
  <c r="F26" i="1"/>
  <c r="G26" i="1"/>
  <c r="H26" i="1"/>
  <c r="I26" i="1"/>
  <c r="J26" i="1"/>
  <c r="C26" i="1"/>
  <c r="C150" i="1" l="1"/>
  <c r="C156" i="1"/>
  <c r="C152" i="1"/>
  <c r="C159" i="1"/>
  <c r="C153" i="1"/>
  <c r="C158" i="1"/>
  <c r="C155" i="1"/>
  <c r="C154" i="1"/>
  <c r="C54" i="1"/>
  <c r="M129" i="1" a="1"/>
  <c r="M129" i="1" s="1"/>
  <c r="L126" i="1" a="1"/>
  <c r="L126" i="1" s="1"/>
  <c r="K130" i="1" a="1"/>
  <c r="K130" i="1" s="1"/>
  <c r="H127" i="1" a="1"/>
  <c r="H127" i="1" s="1"/>
  <c r="O134" i="1" a="1"/>
  <c r="O134" i="1" s="1"/>
  <c r="E129" i="1" a="1"/>
  <c r="E129" i="1" s="1"/>
  <c r="P130" i="1" a="1"/>
  <c r="P130" i="1" s="1"/>
  <c r="O131" i="1" a="1"/>
  <c r="O131" i="1" s="1"/>
  <c r="J133" i="1" a="1"/>
  <c r="J133" i="1" s="1"/>
  <c r="N129" i="1" a="1"/>
  <c r="N129" i="1" s="1"/>
  <c r="H126" i="1" a="1"/>
  <c r="H126" i="1" s="1"/>
  <c r="M126" i="1" a="1"/>
  <c r="M126" i="1" s="1"/>
  <c r="D126" i="1" a="1"/>
  <c r="D126" i="1" s="1"/>
  <c r="E132" i="1" a="1"/>
  <c r="E132" i="1" s="1"/>
  <c r="C130" i="1" a="1"/>
  <c r="C130" i="1" s="1"/>
  <c r="G135" i="1" a="1"/>
  <c r="G135" i="1" s="1"/>
  <c r="L133" i="1" a="1"/>
  <c r="L133" i="1" s="1"/>
  <c r="N128" i="1" a="1"/>
  <c r="N128" i="1" s="1"/>
  <c r="P135" i="1" a="1"/>
  <c r="P135" i="1" s="1"/>
  <c r="M134" i="1" a="1"/>
  <c r="M134" i="1" s="1"/>
  <c r="P134" i="1" a="1"/>
  <c r="P134" i="1" s="1"/>
  <c r="M133" i="1" a="1"/>
  <c r="M133" i="1" s="1"/>
  <c r="O128" i="1" a="1"/>
  <c r="O128" i="1" s="1"/>
  <c r="N126" i="1" a="1"/>
  <c r="N126" i="1" s="1"/>
  <c r="E126" i="1" a="1"/>
  <c r="E126" i="1" s="1"/>
  <c r="F132" i="1" a="1"/>
  <c r="F132" i="1" s="1"/>
  <c r="D130" i="1" a="1"/>
  <c r="D130" i="1" s="1"/>
  <c r="L26" i="1"/>
  <c r="P131" i="1" a="1"/>
  <c r="P131" i="1" s="1"/>
  <c r="G126" i="1" a="1"/>
  <c r="G126" i="1" s="1"/>
  <c r="D135" i="1" a="1"/>
  <c r="D135" i="1" s="1"/>
  <c r="M128" i="1" a="1"/>
  <c r="M128" i="1" s="1"/>
  <c r="P26" i="1"/>
  <c r="M30" i="1"/>
  <c r="P129" i="1" a="1"/>
  <c r="P129" i="1" s="1"/>
  <c r="K128" i="1" a="1"/>
  <c r="K128" i="1" s="1"/>
  <c r="O135" i="1" a="1"/>
  <c r="O135" i="1" s="1"/>
  <c r="N131" i="1" a="1"/>
  <c r="N131" i="1" s="1"/>
  <c r="I126" i="1" a="1"/>
  <c r="I126" i="1" s="1"/>
  <c r="L134" i="1" a="1"/>
  <c r="L134" i="1" s="1"/>
  <c r="H130" i="1" a="1"/>
  <c r="H130" i="1" s="1"/>
  <c r="P29" i="1"/>
  <c r="O29" i="1"/>
  <c r="J128" i="1" a="1"/>
  <c r="J128" i="1" s="1"/>
  <c r="G127" i="1" a="1"/>
  <c r="G127" i="1" s="1"/>
  <c r="D132" i="1" a="1"/>
  <c r="D132" i="1" s="1"/>
  <c r="I121" i="1"/>
  <c r="I123" i="1"/>
  <c r="E130" i="1" a="1"/>
  <c r="E130" i="1" s="1"/>
  <c r="D60" i="1"/>
  <c r="I122" i="1"/>
  <c r="I119" i="1"/>
  <c r="C129" i="1" a="1"/>
  <c r="C129" i="1" s="1"/>
  <c r="H134" i="1" a="1"/>
  <c r="H134" i="1" s="1"/>
  <c r="I133" i="1" a="1"/>
  <c r="I133" i="1" s="1"/>
  <c r="K132" i="1" a="1"/>
  <c r="K132" i="1" s="1"/>
  <c r="L131" i="1" a="1"/>
  <c r="L131" i="1" s="1"/>
  <c r="N130" i="1" a="1"/>
  <c r="N130" i="1" s="1"/>
  <c r="O129" i="1" a="1"/>
  <c r="O129" i="1" s="1"/>
  <c r="F127" i="1" a="1"/>
  <c r="F127" i="1" s="1"/>
  <c r="I118" i="1"/>
  <c r="C128" i="1" a="1"/>
  <c r="C128" i="1" s="1"/>
  <c r="F135" i="1" a="1"/>
  <c r="F135" i="1" s="1"/>
  <c r="G134" i="1" a="1"/>
  <c r="G134" i="1" s="1"/>
  <c r="J132" i="1" a="1"/>
  <c r="J132" i="1" s="1"/>
  <c r="K131" i="1" a="1"/>
  <c r="K131" i="1" s="1"/>
  <c r="M130" i="1" a="1"/>
  <c r="M130" i="1" s="1"/>
  <c r="P128" i="1" a="1"/>
  <c r="P128" i="1" s="1"/>
  <c r="D128" i="1" a="1"/>
  <c r="D128" i="1" s="1"/>
  <c r="I117" i="1"/>
  <c r="C127" i="1" a="1"/>
  <c r="C127" i="1" s="1"/>
  <c r="H133" i="1" a="1"/>
  <c r="H133" i="1" s="1"/>
  <c r="I132" i="1" a="1"/>
  <c r="I132" i="1" s="1"/>
  <c r="L130" i="1" a="1"/>
  <c r="L130" i="1" s="1"/>
  <c r="P127" i="1" a="1"/>
  <c r="P127" i="1" s="1"/>
  <c r="E127" i="1" a="1"/>
  <c r="E127" i="1" s="1"/>
  <c r="F126" i="1" a="1"/>
  <c r="F126" i="1" s="1"/>
  <c r="I116" i="1"/>
  <c r="E135" i="1" a="1"/>
  <c r="E135" i="1" s="1"/>
  <c r="F134" i="1" a="1"/>
  <c r="F134" i="1" s="1"/>
  <c r="J131" i="1" a="1"/>
  <c r="J131" i="1" s="1"/>
  <c r="O127" i="1" a="1"/>
  <c r="O127" i="1" s="1"/>
  <c r="D127" i="1" a="1"/>
  <c r="D127" i="1" s="1"/>
  <c r="E134" i="1" a="1"/>
  <c r="E134" i="1" s="1"/>
  <c r="G133" i="1" a="1"/>
  <c r="G133" i="1" s="1"/>
  <c r="H132" i="1" a="1"/>
  <c r="H132" i="1" s="1"/>
  <c r="L129" i="1" a="1"/>
  <c r="L129" i="1" s="1"/>
  <c r="D134" i="1" a="1"/>
  <c r="D134" i="1" s="1"/>
  <c r="F133" i="1" a="1"/>
  <c r="F133" i="1" s="1"/>
  <c r="G132" i="1" a="1"/>
  <c r="G132" i="1" s="1"/>
  <c r="I131" i="1" a="1"/>
  <c r="I131" i="1" s="1"/>
  <c r="J130" i="1" a="1"/>
  <c r="J130" i="1" s="1"/>
  <c r="N127" i="1" a="1"/>
  <c r="N127" i="1" s="1"/>
  <c r="C126" i="1" a="1"/>
  <c r="C126" i="1" s="1"/>
  <c r="N135" i="1" a="1"/>
  <c r="N135" i="1" s="1"/>
  <c r="E133" i="1" a="1"/>
  <c r="E133" i="1" s="1"/>
  <c r="H131" i="1" a="1"/>
  <c r="H131" i="1" s="1"/>
  <c r="I130" i="1" a="1"/>
  <c r="I130" i="1" s="1"/>
  <c r="K129" i="1" a="1"/>
  <c r="K129" i="1" s="1"/>
  <c r="L128" i="1" a="1"/>
  <c r="L128" i="1" s="1"/>
  <c r="Q33" i="1"/>
  <c r="D56" i="1"/>
  <c r="E56" i="1" s="1"/>
  <c r="F56" i="1" s="1"/>
  <c r="G56" i="1" s="1"/>
  <c r="H56" i="1" s="1"/>
  <c r="I56" i="1" s="1"/>
  <c r="D59" i="1"/>
  <c r="E59" i="1" s="1"/>
  <c r="F59" i="1" s="1"/>
  <c r="G59" i="1" s="1"/>
  <c r="H59" i="1" s="1"/>
  <c r="I59" i="1" s="1"/>
  <c r="J59" i="1" s="1"/>
  <c r="K59" i="1" s="1"/>
  <c r="L59" i="1" s="1"/>
  <c r="C135" i="1" a="1"/>
  <c r="C135" i="1" s="1"/>
  <c r="P133" i="1" a="1"/>
  <c r="P133" i="1" s="1"/>
  <c r="D133" i="1" a="1"/>
  <c r="D133" i="1" s="1"/>
  <c r="G131" i="1" a="1"/>
  <c r="G131" i="1" s="1"/>
  <c r="J129" i="1" a="1"/>
  <c r="J129" i="1" s="1"/>
  <c r="M135" i="1" a="1"/>
  <c r="M135" i="1" s="1"/>
  <c r="N134" i="1" a="1"/>
  <c r="N134" i="1" s="1"/>
  <c r="F131" i="1" a="1"/>
  <c r="F131" i="1" s="1"/>
  <c r="I129" i="1" a="1"/>
  <c r="I129" i="1" s="1"/>
  <c r="L127" i="1" a="1"/>
  <c r="L127" i="1" s="1"/>
  <c r="C134" i="1" a="1"/>
  <c r="C134" i="1" s="1"/>
  <c r="L135" i="1" a="1"/>
  <c r="L135" i="1" s="1"/>
  <c r="O133" i="1" a="1"/>
  <c r="O133" i="1" s="1"/>
  <c r="P132" i="1" a="1"/>
  <c r="P132" i="1" s="1"/>
  <c r="G130" i="1" a="1"/>
  <c r="G130" i="1" s="1"/>
  <c r="H129" i="1" a="1"/>
  <c r="H129" i="1" s="1"/>
  <c r="K127" i="1" a="1"/>
  <c r="K127" i="1" s="1"/>
  <c r="C133" i="1" a="1"/>
  <c r="C133" i="1" s="1"/>
  <c r="K135" i="1" a="1"/>
  <c r="K135" i="1" s="1"/>
  <c r="N133" i="1" a="1"/>
  <c r="N133" i="1" s="1"/>
  <c r="O132" i="1" a="1"/>
  <c r="O132" i="1" s="1"/>
  <c r="E131" i="1" a="1"/>
  <c r="E131" i="1" s="1"/>
  <c r="I128" i="1" a="1"/>
  <c r="I128" i="1" s="1"/>
  <c r="J127" i="1" a="1"/>
  <c r="J127" i="1" s="1"/>
  <c r="D57" i="1"/>
  <c r="C61" i="1"/>
  <c r="D61" i="1" s="1"/>
  <c r="E61" i="1" s="1"/>
  <c r="F61" i="1" s="1"/>
  <c r="G61" i="1" s="1"/>
  <c r="H61" i="1" s="1"/>
  <c r="I61" i="1" s="1"/>
  <c r="C132" i="1" a="1"/>
  <c r="C132" i="1" s="1"/>
  <c r="J135" i="1" a="1"/>
  <c r="J135" i="1" s="1"/>
  <c r="N132" i="1" a="1"/>
  <c r="N132" i="1" s="1"/>
  <c r="F130" i="1" a="1"/>
  <c r="F130" i="1" s="1"/>
  <c r="G129" i="1" a="1"/>
  <c r="G129" i="1" s="1"/>
  <c r="K126" i="1" a="1"/>
  <c r="K126" i="1" s="1"/>
  <c r="Q35" i="1"/>
  <c r="C58" i="1"/>
  <c r="K134" i="1" a="1"/>
  <c r="K134" i="1" s="1"/>
  <c r="F129" i="1" a="1"/>
  <c r="F129" i="1" s="1"/>
  <c r="H128" i="1" a="1"/>
  <c r="H128" i="1" s="1"/>
  <c r="I127" i="1" a="1"/>
  <c r="I127" i="1" s="1"/>
  <c r="C131" i="1" a="1"/>
  <c r="C131" i="1" s="1"/>
  <c r="I135" i="1" a="1"/>
  <c r="I135" i="1" s="1"/>
  <c r="M132" i="1" a="1"/>
  <c r="M132" i="1" s="1"/>
  <c r="G128" i="1" a="1"/>
  <c r="G128" i="1" s="1"/>
  <c r="J126" i="1" a="1"/>
  <c r="J126" i="1" s="1"/>
  <c r="H135" i="1" a="1"/>
  <c r="H135" i="1" s="1"/>
  <c r="J134" i="1" a="1"/>
  <c r="J134" i="1" s="1"/>
  <c r="K133" i="1" a="1"/>
  <c r="K133" i="1" s="1"/>
  <c r="O130" i="1" a="1"/>
  <c r="O130" i="1" s="1"/>
  <c r="F128" i="1" a="1"/>
  <c r="F128" i="1" s="1"/>
  <c r="I120" i="1"/>
  <c r="I134" i="1" a="1"/>
  <c r="I134" i="1" s="1"/>
  <c r="L132" i="1" a="1"/>
  <c r="L132" i="1" s="1"/>
  <c r="D129" i="1" a="1"/>
  <c r="D129" i="1" s="1"/>
  <c r="E128" i="1" a="1"/>
  <c r="E128" i="1" s="1"/>
  <c r="U25" i="4" a="1"/>
  <c r="U25" i="4" s="1"/>
  <c r="M25" i="4" s="1"/>
  <c r="P25" i="4" s="1"/>
  <c r="V25" i="4" a="1"/>
  <c r="V25" i="4" s="1"/>
  <c r="J25" i="4"/>
  <c r="H28" i="4"/>
  <c r="B89" i="2"/>
  <c r="F92" i="2"/>
  <c r="F89" i="2"/>
  <c r="B83" i="2"/>
  <c r="F86" i="2"/>
  <c r="A83" i="2"/>
  <c r="D86" i="2"/>
  <c r="E86" i="2"/>
  <c r="C86" i="2"/>
  <c r="E83" i="2"/>
  <c r="C83" i="2"/>
  <c r="B86" i="2"/>
  <c r="A92" i="2"/>
  <c r="D89" i="2"/>
  <c r="A95" i="2"/>
  <c r="D95" i="2"/>
  <c r="C95" i="2"/>
  <c r="B95" i="2"/>
  <c r="C89" i="2"/>
  <c r="A80" i="2"/>
  <c r="E98" i="2"/>
  <c r="D98" i="2"/>
  <c r="C98" i="2"/>
  <c r="B98" i="2"/>
  <c r="B80" i="2"/>
  <c r="E92" i="2"/>
  <c r="D92" i="2"/>
  <c r="F98" i="2"/>
  <c r="E80" i="2"/>
  <c r="F80" i="2"/>
  <c r="F83" i="2"/>
  <c r="C92" i="2"/>
  <c r="D80" i="2"/>
  <c r="E95" i="2"/>
  <c r="B81" i="2"/>
  <c r="C81" i="2"/>
  <c r="P10" i="2"/>
  <c r="A89" i="2"/>
  <c r="AD11" i="2"/>
  <c r="C55" i="1"/>
  <c r="D55" i="1" s="1"/>
  <c r="E55" i="1" s="1"/>
  <c r="F55" i="1" s="1"/>
  <c r="Q32" i="1"/>
  <c r="Q38" i="1"/>
  <c r="Q34" i="1"/>
  <c r="Q37" i="1"/>
  <c r="Q36" i="1"/>
  <c r="C63" i="1"/>
  <c r="Q31" i="1"/>
  <c r="C62" i="1"/>
  <c r="D62" i="1" s="1"/>
  <c r="E62" i="1" s="1"/>
  <c r="F62" i="1" s="1"/>
  <c r="G62" i="1" s="1"/>
  <c r="H62" i="1" s="1"/>
  <c r="I62" i="1" s="1"/>
  <c r="J62" i="1" s="1"/>
  <c r="K62" i="1" s="1"/>
  <c r="E149" i="1" l="1"/>
  <c r="D54" i="1"/>
  <c r="E54" i="1" s="1"/>
  <c r="O126" i="1" a="1"/>
  <c r="O126" i="1" s="1"/>
  <c r="M127" i="1" a="1"/>
  <c r="M127" i="1" s="1"/>
  <c r="R127" i="1" s="1"/>
  <c r="I115" i="1"/>
  <c r="Q30" i="1"/>
  <c r="Q29" i="1"/>
  <c r="L62" i="1"/>
  <c r="M62" i="1" s="1"/>
  <c r="N62" i="1" s="1"/>
  <c r="O62" i="1" s="1"/>
  <c r="P62" i="1" s="1"/>
  <c r="P126" i="1" a="1"/>
  <c r="P126" i="1" s="1"/>
  <c r="I114" i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G55" i="1"/>
  <c r="H55" i="1" s="1"/>
  <c r="I55" i="1" s="1"/>
  <c r="J55" i="1" s="1"/>
  <c r="K55" i="1" s="1"/>
  <c r="L55" i="1" s="1"/>
  <c r="M55" i="1" s="1"/>
  <c r="N55" i="1" s="1"/>
  <c r="O55" i="1" s="1"/>
  <c r="P55" i="1" s="1"/>
  <c r="D63" i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J61" i="1"/>
  <c r="K61" i="1" s="1"/>
  <c r="L61" i="1" s="1"/>
  <c r="M61" i="1" s="1"/>
  <c r="N61" i="1" s="1"/>
  <c r="O61" i="1" s="1"/>
  <c r="P61" i="1" s="1"/>
  <c r="D58" i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M59" i="1"/>
  <c r="N59" i="1" s="1"/>
  <c r="O59" i="1" s="1"/>
  <c r="P59" i="1" s="1"/>
  <c r="R130" i="1"/>
  <c r="T130" i="1" s="1"/>
  <c r="C142" i="1" s="1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R132" i="1"/>
  <c r="T132" i="1" s="1"/>
  <c r="C144" i="1" s="1"/>
  <c r="R131" i="1"/>
  <c r="T131" i="1" s="1"/>
  <c r="C143" i="1" s="1"/>
  <c r="R128" i="1"/>
  <c r="T128" i="1" s="1"/>
  <c r="C140" i="1" s="1"/>
  <c r="R134" i="1"/>
  <c r="T134" i="1" s="1"/>
  <c r="C146" i="1" s="1"/>
  <c r="R135" i="1"/>
  <c r="T135" i="1" s="1"/>
  <c r="C147" i="1" s="1"/>
  <c r="R129" i="1"/>
  <c r="T129" i="1" s="1"/>
  <c r="C141" i="1" s="1"/>
  <c r="J56" i="1"/>
  <c r="K56" i="1" s="1"/>
  <c r="L56" i="1" s="1"/>
  <c r="M56" i="1" s="1"/>
  <c r="N56" i="1" s="1"/>
  <c r="O56" i="1" s="1"/>
  <c r="P56" i="1" s="1"/>
  <c r="R133" i="1"/>
  <c r="T133" i="1" s="1"/>
  <c r="C145" i="1" s="1"/>
  <c r="R26" i="4"/>
  <c r="T25" i="4"/>
  <c r="L25" i="4" s="1"/>
  <c r="N25" i="4"/>
  <c r="H31" i="4"/>
  <c r="J72" i="2" a="1"/>
  <c r="J72" i="2" s="1"/>
  <c r="Q4" i="2" s="1"/>
  <c r="J74" i="2" a="1"/>
  <c r="J74" i="2" s="1"/>
  <c r="Q6" i="2" s="1"/>
  <c r="V6" i="2" s="1"/>
  <c r="J75" i="2" a="1"/>
  <c r="J75" i="2" s="1"/>
  <c r="Q7" i="2" s="1"/>
  <c r="V7" i="2" s="1"/>
  <c r="J69" i="2" a="1"/>
  <c r="J69" i="2" s="1"/>
  <c r="Q1" i="2" s="1"/>
  <c r="V1" i="2" s="1"/>
  <c r="K70" i="2" a="1"/>
  <c r="K70" i="2" s="1"/>
  <c r="R2" i="2" s="1"/>
  <c r="K71" i="2" a="1"/>
  <c r="K71" i="2" s="1"/>
  <c r="R3" i="2" s="1"/>
  <c r="C78" i="1" a="1"/>
  <c r="R126" i="1" l="1"/>
  <c r="T126" i="1" s="1"/>
  <c r="C138" i="1" s="1"/>
  <c r="T127" i="1"/>
  <c r="C139" i="1" s="1"/>
  <c r="D78" i="1" a="1"/>
  <c r="T79" i="1" s="1"/>
  <c r="X25" i="4"/>
  <c r="AP25" i="4"/>
  <c r="AN25" i="4"/>
  <c r="AL25" i="4"/>
  <c r="AJ25" i="4"/>
  <c r="AF25" i="4"/>
  <c r="AD25" i="4"/>
  <c r="AB25" i="4"/>
  <c r="Z25" i="4"/>
  <c r="AH25" i="4"/>
  <c r="R27" i="4"/>
  <c r="H34" i="4"/>
  <c r="U26" i="4" a="1"/>
  <c r="U26" i="4" s="1"/>
  <c r="M26" i="4" s="1"/>
  <c r="S26" i="4" a="1"/>
  <c r="S26" i="4" s="1"/>
  <c r="K26" i="4" s="1"/>
  <c r="J26" i="4"/>
  <c r="V26" i="4" a="1"/>
  <c r="V26" i="4" s="1"/>
  <c r="S4" i="2"/>
  <c r="T4" i="2"/>
  <c r="R4" i="2"/>
  <c r="AG4" i="2" s="1" a="1"/>
  <c r="U4" i="2"/>
  <c r="S3" i="2"/>
  <c r="T3" i="2"/>
  <c r="U3" i="2"/>
  <c r="S2" i="2"/>
  <c r="U2" i="2"/>
  <c r="T2" i="2"/>
  <c r="C78" i="1"/>
  <c r="S80" i="1"/>
  <c r="S81" i="1"/>
  <c r="S85" i="1"/>
  <c r="S87" i="1"/>
  <c r="S86" i="1"/>
  <c r="S83" i="1"/>
  <c r="S79" i="1"/>
  <c r="S84" i="1"/>
  <c r="S82" i="1"/>
  <c r="E78" i="1" a="1"/>
  <c r="F54" i="1"/>
  <c r="E138" i="1" l="1"/>
  <c r="T87" i="1"/>
  <c r="D78" i="1"/>
  <c r="D90" i="1" s="1"/>
  <c r="T86" i="1"/>
  <c r="T85" i="1"/>
  <c r="T84" i="1"/>
  <c r="T83" i="1"/>
  <c r="T82" i="1"/>
  <c r="T81" i="1"/>
  <c r="T80" i="1"/>
  <c r="AI80" i="1" s="1"/>
  <c r="AH81" i="1"/>
  <c r="AH86" i="1"/>
  <c r="AH84" i="1"/>
  <c r="AH82" i="1"/>
  <c r="AH87" i="1"/>
  <c r="AH85" i="1"/>
  <c r="AH80" i="1"/>
  <c r="AH83" i="1"/>
  <c r="T26" i="4"/>
  <c r="L26" i="4" s="1"/>
  <c r="N26" i="4"/>
  <c r="H37" i="4"/>
  <c r="P26" i="4"/>
  <c r="S27" i="4" a="1"/>
  <c r="S27" i="4" s="1"/>
  <c r="K27" i="4" s="1"/>
  <c r="U27" i="4" a="1"/>
  <c r="U27" i="4" s="1"/>
  <c r="M27" i="4" s="1"/>
  <c r="V27" i="4" a="1"/>
  <c r="V27" i="4" s="1"/>
  <c r="J27" i="4"/>
  <c r="R28" i="4"/>
  <c r="AG4" i="2"/>
  <c r="V4" i="2" s="1"/>
  <c r="AS5" i="2"/>
  <c r="AR5" i="2"/>
  <c r="AQ5" i="2"/>
  <c r="AP5" i="2"/>
  <c r="AO5" i="2"/>
  <c r="AG2" i="2" a="1"/>
  <c r="AG3" i="2" a="1"/>
  <c r="G54" i="1"/>
  <c r="F78" i="1" a="1"/>
  <c r="E78" i="1"/>
  <c r="U86" i="1"/>
  <c r="U83" i="1"/>
  <c r="U84" i="1"/>
  <c r="U87" i="1"/>
  <c r="U79" i="1"/>
  <c r="U82" i="1"/>
  <c r="U80" i="1"/>
  <c r="U81" i="1"/>
  <c r="U85" i="1"/>
  <c r="C97" i="1"/>
  <c r="C98" i="1"/>
  <c r="C92" i="1"/>
  <c r="C94" i="1"/>
  <c r="C95" i="1"/>
  <c r="C90" i="1"/>
  <c r="C91" i="1"/>
  <c r="C93" i="1"/>
  <c r="C96" i="1"/>
  <c r="C99" i="1"/>
  <c r="S78" i="1"/>
  <c r="AH79" i="1" s="1"/>
  <c r="AI82" i="1" l="1"/>
  <c r="AI87" i="1"/>
  <c r="AI86" i="1"/>
  <c r="AI83" i="1"/>
  <c r="T78" i="1"/>
  <c r="AI79" i="1" s="1"/>
  <c r="D95" i="1"/>
  <c r="D93" i="1"/>
  <c r="D92" i="1"/>
  <c r="D91" i="1"/>
  <c r="D94" i="1"/>
  <c r="AI84" i="1"/>
  <c r="D98" i="1"/>
  <c r="AI85" i="1"/>
  <c r="D99" i="1"/>
  <c r="D96" i="1"/>
  <c r="D97" i="1"/>
  <c r="AI81" i="1"/>
  <c r="AJ81" i="1"/>
  <c r="AJ87" i="1"/>
  <c r="AJ84" i="1"/>
  <c r="AJ80" i="1"/>
  <c r="AJ85" i="1"/>
  <c r="AJ83" i="1"/>
  <c r="AJ86" i="1"/>
  <c r="AJ82" i="1"/>
  <c r="P27" i="4"/>
  <c r="X26" i="4"/>
  <c r="AB26" i="4"/>
  <c r="Z26" i="4"/>
  <c r="AD26" i="4"/>
  <c r="AF26" i="4"/>
  <c r="AH26" i="4"/>
  <c r="AJ26" i="4"/>
  <c r="AL26" i="4"/>
  <c r="AN26" i="4"/>
  <c r="AP26" i="4"/>
  <c r="T27" i="4"/>
  <c r="L27" i="4" s="1"/>
  <c r="N27" i="4"/>
  <c r="U28" i="4" a="1"/>
  <c r="U28" i="4" s="1"/>
  <c r="M28" i="4" s="1"/>
  <c r="S28" i="4" a="1"/>
  <c r="S28" i="4" s="1"/>
  <c r="K28" i="4" s="1"/>
  <c r="J28" i="4"/>
  <c r="V28" i="4" a="1"/>
  <c r="V28" i="4" s="1"/>
  <c r="H40" i="4"/>
  <c r="R29" i="4"/>
  <c r="R30" i="4"/>
  <c r="W3" i="2"/>
  <c r="AN5" i="2"/>
  <c r="AG3" i="2"/>
  <c r="V3" i="2" s="1"/>
  <c r="AL5" i="2"/>
  <c r="AM5" i="2"/>
  <c r="AK5" i="2"/>
  <c r="AG2" i="2"/>
  <c r="V2" i="2" s="1"/>
  <c r="W2" i="2"/>
  <c r="AG5" i="2"/>
  <c r="AJ5" i="2"/>
  <c r="AI5" i="2"/>
  <c r="AH5" i="2"/>
  <c r="U78" i="1"/>
  <c r="AJ79" i="1" s="1"/>
  <c r="E93" i="1"/>
  <c r="E98" i="1"/>
  <c r="E90" i="1"/>
  <c r="E94" i="1"/>
  <c r="E97" i="1"/>
  <c r="E92" i="1"/>
  <c r="E95" i="1"/>
  <c r="E91" i="1"/>
  <c r="E96" i="1"/>
  <c r="E99" i="1"/>
  <c r="F78" i="1"/>
  <c r="V86" i="1"/>
  <c r="V82" i="1"/>
  <c r="V84" i="1"/>
  <c r="V79" i="1"/>
  <c r="V85" i="1"/>
  <c r="V80" i="1"/>
  <c r="V87" i="1"/>
  <c r="V83" i="1"/>
  <c r="V81" i="1"/>
  <c r="H54" i="1"/>
  <c r="G78" i="1" a="1"/>
  <c r="D108" i="1" l="1"/>
  <c r="AK81" i="1"/>
  <c r="AK84" i="1"/>
  <c r="AK82" i="1"/>
  <c r="AK86" i="1"/>
  <c r="C108" i="1"/>
  <c r="AK83" i="1"/>
  <c r="AK87" i="1"/>
  <c r="AK80" i="1"/>
  <c r="AK85" i="1"/>
  <c r="X27" i="4"/>
  <c r="AB27" i="4"/>
  <c r="AD27" i="4"/>
  <c r="AF27" i="4"/>
  <c r="AH27" i="4"/>
  <c r="AJ27" i="4"/>
  <c r="AL27" i="4"/>
  <c r="AN27" i="4"/>
  <c r="AP27" i="4"/>
  <c r="Z27" i="4"/>
  <c r="T28" i="4"/>
  <c r="L28" i="4" s="1"/>
  <c r="N28" i="4"/>
  <c r="U30" i="4" a="1"/>
  <c r="U30" i="4" s="1"/>
  <c r="M30" i="4" s="1"/>
  <c r="S30" i="4" a="1"/>
  <c r="S30" i="4" s="1"/>
  <c r="K30" i="4" s="1"/>
  <c r="J30" i="4"/>
  <c r="V30" i="4" a="1"/>
  <c r="V30" i="4" s="1"/>
  <c r="H43" i="4"/>
  <c r="R31" i="4"/>
  <c r="P28" i="4"/>
  <c r="J29" i="4"/>
  <c r="U29" i="4" a="1"/>
  <c r="U29" i="4" s="1"/>
  <c r="M29" i="4" s="1"/>
  <c r="V29" i="4" a="1"/>
  <c r="V29" i="4" s="1"/>
  <c r="S29" i="4" a="1"/>
  <c r="S29" i="4" s="1"/>
  <c r="K29" i="4" s="1"/>
  <c r="AG6" i="2" a="1"/>
  <c r="AG6" i="2" s="1"/>
  <c r="V5" i="2" s="1"/>
  <c r="V10" i="2" s="1"/>
  <c r="X10" i="2" s="1"/>
  <c r="J29" i="2" s="1"/>
  <c r="G78" i="1"/>
  <c r="W81" i="1"/>
  <c r="W80" i="1"/>
  <c r="W82" i="1"/>
  <c r="W86" i="1"/>
  <c r="W84" i="1"/>
  <c r="W87" i="1"/>
  <c r="W85" i="1"/>
  <c r="W79" i="1"/>
  <c r="W83" i="1"/>
  <c r="V78" i="1"/>
  <c r="AK79" i="1" s="1"/>
  <c r="F93" i="1"/>
  <c r="F91" i="1"/>
  <c r="F94" i="1"/>
  <c r="F97" i="1"/>
  <c r="F96" i="1"/>
  <c r="F92" i="1"/>
  <c r="F99" i="1"/>
  <c r="F95" i="1"/>
  <c r="F90" i="1"/>
  <c r="F98" i="1"/>
  <c r="H78" i="1" a="1"/>
  <c r="I54" i="1"/>
  <c r="E107" i="1" l="1"/>
  <c r="AL85" i="1"/>
  <c r="AL87" i="1"/>
  <c r="AL83" i="1"/>
  <c r="AL81" i="1"/>
  <c r="AL84" i="1"/>
  <c r="AL82" i="1"/>
  <c r="AL80" i="1"/>
  <c r="C111" i="1"/>
  <c r="AL86" i="1"/>
  <c r="X28" i="4"/>
  <c r="AB28" i="4"/>
  <c r="AD28" i="4"/>
  <c r="AF28" i="4"/>
  <c r="Z28" i="4"/>
  <c r="AH28" i="4"/>
  <c r="AJ28" i="4"/>
  <c r="AL28" i="4"/>
  <c r="AN28" i="4"/>
  <c r="AP28" i="4"/>
  <c r="V31" i="4" a="1"/>
  <c r="V31" i="4" s="1"/>
  <c r="J31" i="4"/>
  <c r="S31" i="4" a="1"/>
  <c r="S31" i="4" s="1"/>
  <c r="K31" i="4" s="1"/>
  <c r="U31" i="4" a="1"/>
  <c r="U31" i="4" s="1"/>
  <c r="M31" i="4" s="1"/>
  <c r="H46" i="4"/>
  <c r="T30" i="4"/>
  <c r="L30" i="4" s="1"/>
  <c r="N30" i="4"/>
  <c r="P29" i="4"/>
  <c r="T29" i="4"/>
  <c r="L29" i="4" s="1"/>
  <c r="N29" i="4"/>
  <c r="P30" i="4"/>
  <c r="I78" i="1" a="1"/>
  <c r="J54" i="1"/>
  <c r="H78" i="1"/>
  <c r="X81" i="1"/>
  <c r="X82" i="1"/>
  <c r="X86" i="1"/>
  <c r="X80" i="1"/>
  <c r="X84" i="1"/>
  <c r="X87" i="1"/>
  <c r="X79" i="1"/>
  <c r="X85" i="1"/>
  <c r="X83" i="1"/>
  <c r="G99" i="1"/>
  <c r="W78" i="1"/>
  <c r="AL79" i="1" s="1"/>
  <c r="G98" i="1"/>
  <c r="G91" i="1"/>
  <c r="G94" i="1"/>
  <c r="G96" i="1"/>
  <c r="G93" i="1"/>
  <c r="G95" i="1"/>
  <c r="G90" i="1"/>
  <c r="G92" i="1"/>
  <c r="G97" i="1"/>
  <c r="E109" i="1" l="1"/>
  <c r="D107" i="1"/>
  <c r="AM83" i="1"/>
  <c r="AM87" i="1"/>
  <c r="E108" i="1"/>
  <c r="AM85" i="1"/>
  <c r="AM81" i="1"/>
  <c r="AM84" i="1"/>
  <c r="AM80" i="1"/>
  <c r="AM86" i="1"/>
  <c r="D106" i="1"/>
  <c r="AM82" i="1"/>
  <c r="F107" i="1"/>
  <c r="P31" i="4"/>
  <c r="X29" i="4"/>
  <c r="AB29" i="4"/>
  <c r="AJ29" i="4"/>
  <c r="AD29" i="4"/>
  <c r="AF29" i="4"/>
  <c r="AH29" i="4"/>
  <c r="AL29" i="4"/>
  <c r="AN29" i="4"/>
  <c r="AP29" i="4"/>
  <c r="Z29" i="4"/>
  <c r="X30" i="4"/>
  <c r="AB30" i="4"/>
  <c r="AD30" i="4"/>
  <c r="AF30" i="4"/>
  <c r="AH30" i="4"/>
  <c r="AJ30" i="4"/>
  <c r="Z30" i="4"/>
  <c r="AL30" i="4"/>
  <c r="AN30" i="4"/>
  <c r="AP30" i="4"/>
  <c r="H49" i="4"/>
  <c r="T31" i="4"/>
  <c r="L31" i="4" s="1"/>
  <c r="N31" i="4"/>
  <c r="H94" i="1"/>
  <c r="H99" i="1"/>
  <c r="X78" i="1"/>
  <c r="AM79" i="1" s="1"/>
  <c r="H95" i="1"/>
  <c r="H98" i="1"/>
  <c r="H91" i="1"/>
  <c r="H90" i="1"/>
  <c r="H97" i="1"/>
  <c r="H96" i="1"/>
  <c r="H92" i="1"/>
  <c r="H93" i="1"/>
  <c r="J78" i="1" a="1"/>
  <c r="K54" i="1"/>
  <c r="I78" i="1"/>
  <c r="Y84" i="1"/>
  <c r="Y81" i="1"/>
  <c r="Y80" i="1"/>
  <c r="Y82" i="1"/>
  <c r="Y86" i="1"/>
  <c r="Y79" i="1"/>
  <c r="Y83" i="1"/>
  <c r="Y87" i="1"/>
  <c r="Y85" i="1"/>
  <c r="AN83" i="1" l="1"/>
  <c r="AN82" i="1"/>
  <c r="AN85" i="1"/>
  <c r="AN87" i="1"/>
  <c r="E104" i="1"/>
  <c r="AN86" i="1"/>
  <c r="AN80" i="1"/>
  <c r="AN81" i="1"/>
  <c r="AN84" i="1"/>
  <c r="C110" i="1"/>
  <c r="X31" i="4"/>
  <c r="AB31" i="4"/>
  <c r="AJ31" i="4"/>
  <c r="AD31" i="4"/>
  <c r="AF31" i="4"/>
  <c r="AH31" i="4"/>
  <c r="AL31" i="4"/>
  <c r="AN31" i="4"/>
  <c r="Z31" i="4"/>
  <c r="AP31" i="4"/>
  <c r="H52" i="4"/>
  <c r="J78" i="1"/>
  <c r="Z84" i="1"/>
  <c r="Z82" i="1"/>
  <c r="Z86" i="1"/>
  <c r="Z80" i="1"/>
  <c r="Z81" i="1"/>
  <c r="Z79" i="1"/>
  <c r="Z83" i="1"/>
  <c r="Z87" i="1"/>
  <c r="Z85" i="1"/>
  <c r="I94" i="1"/>
  <c r="I98" i="1"/>
  <c r="Y78" i="1"/>
  <c r="AN79" i="1" s="1"/>
  <c r="I95" i="1"/>
  <c r="I91" i="1"/>
  <c r="I90" i="1"/>
  <c r="I92" i="1"/>
  <c r="I99" i="1"/>
  <c r="I96" i="1"/>
  <c r="I97" i="1"/>
  <c r="I93" i="1"/>
  <c r="K78" i="1" a="1"/>
  <c r="L54" i="1"/>
  <c r="D109" i="1" l="1"/>
  <c r="C109" i="1"/>
  <c r="C107" i="1"/>
  <c r="AO87" i="1"/>
  <c r="AO83" i="1"/>
  <c r="AO81" i="1"/>
  <c r="AO86" i="1"/>
  <c r="AO84" i="1"/>
  <c r="E106" i="1"/>
  <c r="AO80" i="1"/>
  <c r="AO82" i="1"/>
  <c r="D111" i="1"/>
  <c r="D110" i="1"/>
  <c r="F109" i="1"/>
  <c r="AO85" i="1"/>
  <c r="H53" i="4"/>
  <c r="H56" i="4" s="1"/>
  <c r="H55" i="4"/>
  <c r="L78" i="1" a="1"/>
  <c r="M54" i="1"/>
  <c r="K78" i="1"/>
  <c r="AA79" i="1"/>
  <c r="AA87" i="1"/>
  <c r="AA84" i="1"/>
  <c r="AA80" i="1"/>
  <c r="AA85" i="1"/>
  <c r="AA86" i="1"/>
  <c r="AA83" i="1"/>
  <c r="AA81" i="1"/>
  <c r="AA82" i="1"/>
  <c r="J95" i="1"/>
  <c r="J98" i="1"/>
  <c r="Z78" i="1"/>
  <c r="AO79" i="1" s="1"/>
  <c r="J91" i="1"/>
  <c r="J96" i="1"/>
  <c r="J92" i="1"/>
  <c r="J99" i="1"/>
  <c r="J94" i="1"/>
  <c r="J90" i="1"/>
  <c r="J97" i="1"/>
  <c r="J93" i="1"/>
  <c r="E111" i="1" l="1"/>
  <c r="AP86" i="1"/>
  <c r="AP85" i="1"/>
  <c r="AP84" i="1"/>
  <c r="AP82" i="1"/>
  <c r="AP87" i="1"/>
  <c r="E105" i="1"/>
  <c r="G105" i="1"/>
  <c r="AP81" i="1"/>
  <c r="F111" i="1"/>
  <c r="F106" i="1"/>
  <c r="AP83" i="1"/>
  <c r="D103" i="1"/>
  <c r="AP80" i="1"/>
  <c r="C106" i="1"/>
  <c r="C103" i="1"/>
  <c r="H58" i="4"/>
  <c r="H59" i="4"/>
  <c r="R33" i="4"/>
  <c r="R32" i="4"/>
  <c r="R35" i="4"/>
  <c r="R34" i="4"/>
  <c r="R36" i="4"/>
  <c r="K95" i="1"/>
  <c r="K92" i="1"/>
  <c r="AA78" i="1"/>
  <c r="AP79" i="1" s="1"/>
  <c r="K98" i="1"/>
  <c r="K94" i="1"/>
  <c r="K96" i="1"/>
  <c r="K91" i="1"/>
  <c r="K93" i="1"/>
  <c r="K90" i="1"/>
  <c r="K97" i="1"/>
  <c r="K99" i="1"/>
  <c r="N54" i="1"/>
  <c r="M78" i="1" a="1"/>
  <c r="L78" i="1"/>
  <c r="AB79" i="1"/>
  <c r="AB87" i="1"/>
  <c r="AB84" i="1"/>
  <c r="AB86" i="1"/>
  <c r="AB81" i="1"/>
  <c r="AB82" i="1"/>
  <c r="AB85" i="1"/>
  <c r="AB80" i="1"/>
  <c r="AB83" i="1"/>
  <c r="E110" i="1" l="1"/>
  <c r="G106" i="1"/>
  <c r="G109" i="1"/>
  <c r="G108" i="1"/>
  <c r="G107" i="1"/>
  <c r="AQ82" i="1"/>
  <c r="AQ80" i="1"/>
  <c r="AQ85" i="1"/>
  <c r="AQ87" i="1"/>
  <c r="AQ83" i="1"/>
  <c r="E102" i="1"/>
  <c r="C102" i="1"/>
  <c r="C105" i="1"/>
  <c r="AQ81" i="1"/>
  <c r="AQ86" i="1"/>
  <c r="AQ84" i="1"/>
  <c r="D105" i="1"/>
  <c r="D102" i="1"/>
  <c r="F108" i="1"/>
  <c r="I109" i="1"/>
  <c r="H61" i="4"/>
  <c r="H62" i="4"/>
  <c r="U36" i="4" a="1"/>
  <c r="U36" i="4" s="1"/>
  <c r="M36" i="4" s="1"/>
  <c r="J36" i="4"/>
  <c r="S36" i="4" a="1"/>
  <c r="S36" i="4" s="1"/>
  <c r="K36" i="4" s="1"/>
  <c r="P36" i="4" s="1"/>
  <c r="V36" i="4" a="1"/>
  <c r="V36" i="4" s="1"/>
  <c r="U32" i="4" a="1"/>
  <c r="U32" i="4" s="1"/>
  <c r="M32" i="4" s="1"/>
  <c r="S32" i="4" a="1"/>
  <c r="S32" i="4" s="1"/>
  <c r="K32" i="4" s="1"/>
  <c r="J32" i="4"/>
  <c r="V32" i="4" a="1"/>
  <c r="V32" i="4" s="1"/>
  <c r="U33" i="4" a="1"/>
  <c r="U33" i="4" s="1"/>
  <c r="M33" i="4" s="1"/>
  <c r="S33" i="4" a="1"/>
  <c r="S33" i="4" s="1"/>
  <c r="K33" i="4" s="1"/>
  <c r="V33" i="4" a="1"/>
  <c r="V33" i="4" s="1"/>
  <c r="J33" i="4"/>
  <c r="U35" i="4" a="1"/>
  <c r="U35" i="4" s="1"/>
  <c r="M35" i="4" s="1"/>
  <c r="V35" i="4" a="1"/>
  <c r="V35" i="4" s="1"/>
  <c r="J35" i="4"/>
  <c r="S35" i="4" a="1"/>
  <c r="S35" i="4" s="1"/>
  <c r="K35" i="4" s="1"/>
  <c r="U34" i="4" a="1"/>
  <c r="U34" i="4" s="1"/>
  <c r="M34" i="4" s="1"/>
  <c r="J34" i="4"/>
  <c r="S34" i="4" a="1"/>
  <c r="S34" i="4" s="1"/>
  <c r="K34" i="4" s="1"/>
  <c r="V34" i="4" a="1"/>
  <c r="V34" i="4" s="1"/>
  <c r="M78" i="1"/>
  <c r="AC82" i="1"/>
  <c r="AC79" i="1"/>
  <c r="AC87" i="1"/>
  <c r="AC85" i="1"/>
  <c r="AC83" i="1"/>
  <c r="AC84" i="1"/>
  <c r="AC81" i="1"/>
  <c r="AC80" i="1"/>
  <c r="AC86" i="1"/>
  <c r="L90" i="1"/>
  <c r="L95" i="1"/>
  <c r="L99" i="1"/>
  <c r="L92" i="1"/>
  <c r="AB78" i="1"/>
  <c r="AQ79" i="1" s="1"/>
  <c r="L98" i="1"/>
  <c r="L94" i="1"/>
  <c r="L96" i="1"/>
  <c r="L97" i="1"/>
  <c r="L91" i="1"/>
  <c r="L93" i="1"/>
  <c r="O54" i="1"/>
  <c r="N78" i="1" a="1"/>
  <c r="E103" i="1" l="1"/>
  <c r="C104" i="1"/>
  <c r="G111" i="1"/>
  <c r="D104" i="1"/>
  <c r="AR84" i="1"/>
  <c r="AR83" i="1"/>
  <c r="AR82" i="1"/>
  <c r="AR86" i="1"/>
  <c r="AR80" i="1"/>
  <c r="AR81" i="1"/>
  <c r="H109" i="1"/>
  <c r="AR85" i="1"/>
  <c r="AR87" i="1"/>
  <c r="F104" i="1"/>
  <c r="P33" i="4"/>
  <c r="H64" i="4"/>
  <c r="H65" i="4"/>
  <c r="R37" i="4"/>
  <c r="R38" i="4"/>
  <c r="P32" i="4"/>
  <c r="T34" i="4"/>
  <c r="L34" i="4" s="1"/>
  <c r="N34" i="4"/>
  <c r="P34" i="4"/>
  <c r="T33" i="4"/>
  <c r="L33" i="4" s="1"/>
  <c r="N33" i="4"/>
  <c r="T35" i="4"/>
  <c r="L35" i="4" s="1"/>
  <c r="N35" i="4"/>
  <c r="P35" i="4"/>
  <c r="T36" i="4"/>
  <c r="L36" i="4" s="1"/>
  <c r="N36" i="4"/>
  <c r="T32" i="4"/>
  <c r="L32" i="4" s="1"/>
  <c r="N32" i="4"/>
  <c r="N78" i="1"/>
  <c r="AD82" i="1"/>
  <c r="AD85" i="1"/>
  <c r="AD87" i="1"/>
  <c r="AD83" i="1"/>
  <c r="AD81" i="1"/>
  <c r="AD79" i="1"/>
  <c r="AD86" i="1"/>
  <c r="AD84" i="1"/>
  <c r="AD80" i="1"/>
  <c r="P54" i="1"/>
  <c r="P78" i="1" s="1" a="1"/>
  <c r="O78" i="1" a="1"/>
  <c r="M90" i="1"/>
  <c r="M96" i="1"/>
  <c r="M92" i="1"/>
  <c r="M95" i="1"/>
  <c r="M99" i="1"/>
  <c r="AC78" i="1"/>
  <c r="AR79" i="1" s="1"/>
  <c r="M93" i="1"/>
  <c r="M98" i="1"/>
  <c r="M91" i="1"/>
  <c r="M94" i="1"/>
  <c r="M97" i="1"/>
  <c r="H111" i="1" l="1"/>
  <c r="J107" i="1"/>
  <c r="K107" i="1"/>
  <c r="K109" i="1"/>
  <c r="G110" i="1"/>
  <c r="F105" i="1"/>
  <c r="F110" i="1"/>
  <c r="G104" i="1"/>
  <c r="AS86" i="1"/>
  <c r="AS83" i="1"/>
  <c r="AS81" i="1"/>
  <c r="AS87" i="1"/>
  <c r="AS80" i="1"/>
  <c r="P78" i="1"/>
  <c r="P93" i="1" s="1"/>
  <c r="AF85" i="1"/>
  <c r="AF86" i="1"/>
  <c r="AF87" i="1"/>
  <c r="AF84" i="1"/>
  <c r="AF81" i="1"/>
  <c r="AF79" i="1"/>
  <c r="AF80" i="1"/>
  <c r="AF82" i="1"/>
  <c r="AF83" i="1"/>
  <c r="O78" i="1"/>
  <c r="O92" i="1" s="1"/>
  <c r="AE81" i="1"/>
  <c r="AE79" i="1"/>
  <c r="AE82" i="1"/>
  <c r="AE83" i="1"/>
  <c r="AE80" i="1"/>
  <c r="AE84" i="1"/>
  <c r="AE85" i="1"/>
  <c r="AE86" i="1"/>
  <c r="AE87" i="1"/>
  <c r="H108" i="1"/>
  <c r="AS84" i="1"/>
  <c r="I108" i="1"/>
  <c r="J109" i="1"/>
  <c r="M109" i="1"/>
  <c r="AS85" i="1"/>
  <c r="AS82" i="1"/>
  <c r="F102" i="1"/>
  <c r="S37" i="4" a="1"/>
  <c r="S37" i="4" s="1"/>
  <c r="K37" i="4" s="1"/>
  <c r="U37" i="4" a="1"/>
  <c r="U37" i="4" s="1"/>
  <c r="M37" i="4" s="1"/>
  <c r="V37" i="4" a="1"/>
  <c r="V37" i="4" s="1"/>
  <c r="J37" i="4"/>
  <c r="J38" i="4"/>
  <c r="U38" i="4" a="1"/>
  <c r="U38" i="4" s="1"/>
  <c r="M38" i="4" s="1"/>
  <c r="S38" i="4" a="1"/>
  <c r="S38" i="4" s="1"/>
  <c r="K38" i="4" s="1"/>
  <c r="P38" i="4" s="1"/>
  <c r="V38" i="4" a="1"/>
  <c r="V38" i="4" s="1"/>
  <c r="H67" i="4"/>
  <c r="H68" i="4"/>
  <c r="X35" i="4"/>
  <c r="AB35" i="4"/>
  <c r="AJ35" i="4"/>
  <c r="AD35" i="4"/>
  <c r="Z35" i="4"/>
  <c r="AF35" i="4"/>
  <c r="AH35" i="4"/>
  <c r="AL35" i="4"/>
  <c r="AN35" i="4"/>
  <c r="AP35" i="4"/>
  <c r="X32" i="4"/>
  <c r="AB32" i="4"/>
  <c r="AD32" i="4"/>
  <c r="AF32" i="4"/>
  <c r="AH32" i="4"/>
  <c r="AJ32" i="4"/>
  <c r="AL32" i="4"/>
  <c r="AN32" i="4"/>
  <c r="Z32" i="4"/>
  <c r="AP32" i="4"/>
  <c r="X33" i="4"/>
  <c r="AB33" i="4"/>
  <c r="AD33" i="4"/>
  <c r="AF33" i="4"/>
  <c r="AJ33" i="4"/>
  <c r="AH33" i="4"/>
  <c r="AL33" i="4"/>
  <c r="AN33" i="4"/>
  <c r="AP33" i="4"/>
  <c r="Z33" i="4"/>
  <c r="X36" i="4"/>
  <c r="Z36" i="4"/>
  <c r="AB36" i="4"/>
  <c r="AD36" i="4"/>
  <c r="AF36" i="4"/>
  <c r="AH36" i="4"/>
  <c r="AJ36" i="4"/>
  <c r="AL36" i="4"/>
  <c r="AN36" i="4"/>
  <c r="AP36" i="4"/>
  <c r="X34" i="4"/>
  <c r="Z34" i="4"/>
  <c r="AB34" i="4"/>
  <c r="AD34" i="4"/>
  <c r="AF34" i="4"/>
  <c r="AH34" i="4"/>
  <c r="AJ34" i="4"/>
  <c r="AL34" i="4"/>
  <c r="AN34" i="4"/>
  <c r="AP34" i="4"/>
  <c r="N96" i="1"/>
  <c r="N92" i="1"/>
  <c r="N95" i="1"/>
  <c r="N99" i="1"/>
  <c r="N91" i="1"/>
  <c r="N97" i="1"/>
  <c r="AD78" i="1"/>
  <c r="AS79" i="1" s="1"/>
  <c r="N93" i="1"/>
  <c r="N98" i="1"/>
  <c r="N94" i="1"/>
  <c r="N90" i="1"/>
  <c r="L107" i="1" l="1"/>
  <c r="L109" i="1"/>
  <c r="H107" i="1"/>
  <c r="H106" i="1"/>
  <c r="I107" i="1"/>
  <c r="G102" i="1"/>
  <c r="G103" i="1"/>
  <c r="F103" i="1"/>
  <c r="AT84" i="1"/>
  <c r="AT83" i="1"/>
  <c r="AT80" i="1"/>
  <c r="AT85" i="1"/>
  <c r="AU80" i="1"/>
  <c r="O98" i="1"/>
  <c r="O93" i="1"/>
  <c r="R93" i="1" s="1"/>
  <c r="P91" i="1"/>
  <c r="AU87" i="1"/>
  <c r="AU83" i="1"/>
  <c r="O95" i="1"/>
  <c r="O94" i="1"/>
  <c r="O97" i="1"/>
  <c r="O90" i="1"/>
  <c r="O96" i="1"/>
  <c r="O91" i="1"/>
  <c r="O99" i="1"/>
  <c r="P96" i="1"/>
  <c r="AT86" i="1"/>
  <c r="AU86" i="1"/>
  <c r="AT82" i="1"/>
  <c r="AU85" i="1"/>
  <c r="AT81" i="1"/>
  <c r="AE78" i="1"/>
  <c r="AT79" i="1" s="1"/>
  <c r="AF78" i="1"/>
  <c r="AU79" i="1" s="1"/>
  <c r="P98" i="1"/>
  <c r="P97" i="1"/>
  <c r="AU82" i="1"/>
  <c r="P90" i="1"/>
  <c r="P95" i="1"/>
  <c r="P94" i="1"/>
  <c r="P92" i="1"/>
  <c r="R92" i="1" s="1"/>
  <c r="H105" i="1"/>
  <c r="AU81" i="1"/>
  <c r="P99" i="1"/>
  <c r="M107" i="1"/>
  <c r="AT87" i="1"/>
  <c r="AU84" i="1"/>
  <c r="P37" i="4"/>
  <c r="H70" i="4"/>
  <c r="H71" i="4"/>
  <c r="R40" i="4"/>
  <c r="R39" i="4"/>
  <c r="T38" i="4"/>
  <c r="L38" i="4" s="1"/>
  <c r="N38" i="4"/>
  <c r="T37" i="4"/>
  <c r="L37" i="4" s="1"/>
  <c r="N37" i="4"/>
  <c r="H110" i="1" l="1"/>
  <c r="I111" i="1"/>
  <c r="I106" i="1"/>
  <c r="H104" i="1"/>
  <c r="R98" i="1"/>
  <c r="R91" i="1"/>
  <c r="R94" i="1"/>
  <c r="R95" i="1"/>
  <c r="R99" i="1"/>
  <c r="R90" i="1"/>
  <c r="R97" i="1"/>
  <c r="R96" i="1"/>
  <c r="K111" i="1"/>
  <c r="J108" i="1"/>
  <c r="H102" i="1"/>
  <c r="I104" i="1"/>
  <c r="X37" i="4"/>
  <c r="AB37" i="4"/>
  <c r="AJ37" i="4"/>
  <c r="AD37" i="4"/>
  <c r="AF37" i="4"/>
  <c r="AH37" i="4"/>
  <c r="Z37" i="4"/>
  <c r="AL37" i="4"/>
  <c r="AN37" i="4"/>
  <c r="AP37" i="4"/>
  <c r="AL38" i="4"/>
  <c r="AN38" i="4"/>
  <c r="AP38" i="4"/>
  <c r="Z38" i="4"/>
  <c r="X38" i="4"/>
  <c r="AB38" i="4"/>
  <c r="AD38" i="4"/>
  <c r="AF38" i="4"/>
  <c r="AH38" i="4"/>
  <c r="AJ38" i="4"/>
  <c r="U40" i="4" a="1"/>
  <c r="U40" i="4" s="1"/>
  <c r="M40" i="4" s="1"/>
  <c r="S40" i="4" a="1"/>
  <c r="S40" i="4" s="1"/>
  <c r="K40" i="4" s="1"/>
  <c r="P40" i="4" s="1"/>
  <c r="J40" i="4"/>
  <c r="V40" i="4" a="1"/>
  <c r="V40" i="4" s="1"/>
  <c r="J39" i="4"/>
  <c r="U39" i="4" a="1"/>
  <c r="U39" i="4" s="1"/>
  <c r="M39" i="4" s="1"/>
  <c r="S39" i="4" a="1"/>
  <c r="S39" i="4" s="1"/>
  <c r="K39" i="4" s="1"/>
  <c r="V39" i="4" a="1"/>
  <c r="V39" i="4" s="1"/>
  <c r="H73" i="4"/>
  <c r="O109" i="1" l="1"/>
  <c r="I110" i="1"/>
  <c r="N109" i="1"/>
  <c r="K106" i="1"/>
  <c r="H103" i="1"/>
  <c r="J111" i="1"/>
  <c r="J106" i="1"/>
  <c r="O106" i="1"/>
  <c r="O107" i="1"/>
  <c r="Y90" i="1"/>
  <c r="I105" i="1"/>
  <c r="O102" i="1"/>
  <c r="O111" i="1"/>
  <c r="O108" i="1"/>
  <c r="O104" i="1"/>
  <c r="O110" i="1"/>
  <c r="K110" i="1"/>
  <c r="K108" i="1"/>
  <c r="I102" i="1"/>
  <c r="T39" i="4"/>
  <c r="L39" i="4" s="1"/>
  <c r="N39" i="4"/>
  <c r="P39" i="4"/>
  <c r="T40" i="4"/>
  <c r="L40" i="4" s="1"/>
  <c r="N40" i="4"/>
  <c r="H76" i="4"/>
  <c r="L111" i="1" l="1"/>
  <c r="O103" i="1"/>
  <c r="O105" i="1"/>
  <c r="I103" i="1"/>
  <c r="N107" i="1"/>
  <c r="K104" i="1"/>
  <c r="K105" i="1"/>
  <c r="J104" i="1"/>
  <c r="J105" i="1"/>
  <c r="L106" i="1"/>
  <c r="L108" i="1"/>
  <c r="N111" i="1"/>
  <c r="K102" i="1"/>
  <c r="J102" i="1"/>
  <c r="H79" i="4"/>
  <c r="AF40" i="4"/>
  <c r="AH40" i="4"/>
  <c r="Z40" i="4"/>
  <c r="AJ40" i="4"/>
  <c r="AL40" i="4"/>
  <c r="AN40" i="4"/>
  <c r="X40" i="4"/>
  <c r="AP40" i="4"/>
  <c r="AB40" i="4"/>
  <c r="AD40" i="4"/>
  <c r="AF39" i="4"/>
  <c r="AH39" i="4"/>
  <c r="AL39" i="4"/>
  <c r="Z39" i="4"/>
  <c r="AN39" i="4"/>
  <c r="AP39" i="4"/>
  <c r="X39" i="4"/>
  <c r="AB39" i="4"/>
  <c r="AJ39" i="4"/>
  <c r="AD39" i="4"/>
  <c r="J110" i="1" l="1"/>
  <c r="M111" i="1"/>
  <c r="M106" i="1"/>
  <c r="J103" i="1"/>
  <c r="K103" i="1"/>
  <c r="N106" i="1"/>
  <c r="H82" i="4"/>
  <c r="P107" i="1" l="1"/>
  <c r="R107" i="1" s="1"/>
  <c r="L104" i="1"/>
  <c r="L105" i="1"/>
  <c r="N108" i="1"/>
  <c r="P109" i="1"/>
  <c r="R109" i="1" s="1"/>
  <c r="L102" i="1"/>
  <c r="H85" i="4"/>
  <c r="M105" i="1" l="1"/>
  <c r="M110" i="1"/>
  <c r="L110" i="1"/>
  <c r="L103" i="1"/>
  <c r="M104" i="1"/>
  <c r="P106" i="1"/>
  <c r="R106" i="1" s="1"/>
  <c r="M108" i="1"/>
  <c r="M102" i="1"/>
  <c r="H88" i="4"/>
  <c r="H91" i="4" s="1"/>
  <c r="H94" i="4" s="1"/>
  <c r="H97" i="4" s="1"/>
  <c r="H100" i="4" s="1"/>
  <c r="H104" i="4" s="1"/>
  <c r="H107" i="4" s="1"/>
  <c r="H110" i="4" s="1"/>
  <c r="H113" i="4" s="1"/>
  <c r="H116" i="4" s="1"/>
  <c r="H119" i="4" s="1"/>
  <c r="H122" i="4" s="1"/>
  <c r="H125" i="4" s="1"/>
  <c r="R123" i="4"/>
  <c r="R106" i="4"/>
  <c r="R117" i="4"/>
  <c r="R54" i="4"/>
  <c r="R108" i="4"/>
  <c r="R97" i="4"/>
  <c r="R48" i="4"/>
  <c r="R120" i="4"/>
  <c r="R119" i="4"/>
  <c r="R128" i="4"/>
  <c r="N102" i="1" l="1"/>
  <c r="N110" i="1"/>
  <c r="N105" i="1"/>
  <c r="N103" i="1"/>
  <c r="M103" i="1"/>
  <c r="N104" i="1"/>
  <c r="P110" i="1"/>
  <c r="P111" i="1"/>
  <c r="R111" i="1" s="1"/>
  <c r="R64" i="4"/>
  <c r="R112" i="4"/>
  <c r="R104" i="4"/>
  <c r="S104" i="4" s="1" a="1"/>
  <c r="S104" i="4" s="1"/>
  <c r="K104" i="4" s="1"/>
  <c r="P104" i="4" s="1"/>
  <c r="R41" i="4"/>
  <c r="R44" i="4"/>
  <c r="R82" i="4"/>
  <c r="R42" i="4"/>
  <c r="R57" i="4"/>
  <c r="R85" i="4"/>
  <c r="R60" i="4"/>
  <c r="R53" i="4"/>
  <c r="J53" i="4" s="1"/>
  <c r="R52" i="4"/>
  <c r="U52" i="4" s="1" a="1"/>
  <c r="U52" i="4" s="1"/>
  <c r="M52" i="4" s="1"/>
  <c r="R55" i="4"/>
  <c r="S55" i="4" s="1" a="1"/>
  <c r="S55" i="4" s="1"/>
  <c r="K55" i="4" s="1"/>
  <c r="P55" i="4" s="1"/>
  <c r="R43" i="4"/>
  <c r="U104" i="4" a="1"/>
  <c r="U104" i="4" s="1"/>
  <c r="M104" i="4" s="1"/>
  <c r="V104" i="4" a="1"/>
  <c r="V104" i="4" s="1"/>
  <c r="V97" i="4" a="1"/>
  <c r="V97" i="4" s="1"/>
  <c r="U97" i="4" a="1"/>
  <c r="U97" i="4" s="1"/>
  <c r="M97" i="4" s="1"/>
  <c r="S97" i="4" a="1"/>
  <c r="S97" i="4" s="1"/>
  <c r="K97" i="4" s="1"/>
  <c r="P97" i="4" s="1"/>
  <c r="J97" i="4"/>
  <c r="S106" i="4" a="1"/>
  <c r="S106" i="4" s="1"/>
  <c r="K106" i="4" s="1"/>
  <c r="P106" i="4" s="1"/>
  <c r="J106" i="4"/>
  <c r="V106" i="4" a="1"/>
  <c r="V106" i="4" s="1"/>
  <c r="U106" i="4" a="1"/>
  <c r="U106" i="4" s="1"/>
  <c r="M106" i="4" s="1"/>
  <c r="U60" i="4" a="1"/>
  <c r="U60" i="4" s="1"/>
  <c r="M60" i="4" s="1"/>
  <c r="J60" i="4"/>
  <c r="S60" i="4" a="1"/>
  <c r="S60" i="4" s="1"/>
  <c r="K60" i="4" s="1"/>
  <c r="P60" i="4" s="1"/>
  <c r="V60" i="4" a="1"/>
  <c r="V60" i="4" s="1"/>
  <c r="S108" i="4" a="1"/>
  <c r="S108" i="4" s="1"/>
  <c r="K108" i="4" s="1"/>
  <c r="P108" i="4" s="1"/>
  <c r="U108" i="4" a="1"/>
  <c r="U108" i="4" s="1"/>
  <c r="M108" i="4" s="1"/>
  <c r="J108" i="4"/>
  <c r="V108" i="4" a="1"/>
  <c r="V108" i="4" s="1"/>
  <c r="R65" i="4"/>
  <c r="S123" i="4" a="1"/>
  <c r="S123" i="4" s="1"/>
  <c r="K123" i="4" s="1"/>
  <c r="P123" i="4" s="1"/>
  <c r="V123" i="4" a="1"/>
  <c r="V123" i="4" s="1"/>
  <c r="J123" i="4"/>
  <c r="U123" i="4" a="1"/>
  <c r="U123" i="4" s="1"/>
  <c r="M123" i="4" s="1"/>
  <c r="R66" i="4"/>
  <c r="R69" i="4"/>
  <c r="U54" i="4" a="1"/>
  <c r="U54" i="4" s="1"/>
  <c r="M54" i="4" s="1"/>
  <c r="J54" i="4"/>
  <c r="V54" i="4" a="1"/>
  <c r="V54" i="4" s="1"/>
  <c r="S54" i="4" a="1"/>
  <c r="S54" i="4" s="1"/>
  <c r="K54" i="4" s="1"/>
  <c r="P54" i="4" s="1"/>
  <c r="V119" i="4" a="1"/>
  <c r="V119" i="4" s="1"/>
  <c r="S119" i="4" a="1"/>
  <c r="S119" i="4" s="1"/>
  <c r="K119" i="4" s="1"/>
  <c r="P119" i="4" s="1"/>
  <c r="J119" i="4"/>
  <c r="U119" i="4" a="1"/>
  <c r="U119" i="4" s="1"/>
  <c r="M119" i="4" s="1"/>
  <c r="U64" i="4" a="1"/>
  <c r="U64" i="4" s="1"/>
  <c r="M64" i="4" s="1"/>
  <c r="J64" i="4"/>
  <c r="S64" i="4" a="1"/>
  <c r="S64" i="4" s="1"/>
  <c r="K64" i="4" s="1"/>
  <c r="P64" i="4" s="1"/>
  <c r="V64" i="4" a="1"/>
  <c r="V64" i="4" s="1"/>
  <c r="S120" i="4" a="1"/>
  <c r="S120" i="4" s="1"/>
  <c r="K120" i="4" s="1"/>
  <c r="P120" i="4" s="1"/>
  <c r="J120" i="4"/>
  <c r="V120" i="4" a="1"/>
  <c r="V120" i="4" s="1"/>
  <c r="U120" i="4" a="1"/>
  <c r="U120" i="4" s="1"/>
  <c r="M120" i="4" s="1"/>
  <c r="V44" i="4" a="1"/>
  <c r="V44" i="4" s="1"/>
  <c r="U44" i="4" a="1"/>
  <c r="U44" i="4" s="1"/>
  <c r="M44" i="4" s="1"/>
  <c r="J44" i="4"/>
  <c r="S44" i="4" a="1"/>
  <c r="S44" i="4" s="1"/>
  <c r="K44" i="4" s="1"/>
  <c r="R89" i="4"/>
  <c r="R88" i="4"/>
  <c r="R47" i="4"/>
  <c r="R101" i="4"/>
  <c r="R46" i="4"/>
  <c r="R50" i="4"/>
  <c r="S50" i="4" s="1" a="1"/>
  <c r="S50" i="4" s="1"/>
  <c r="R115" i="4"/>
  <c r="R102" i="4"/>
  <c r="R49" i="4"/>
  <c r="R70" i="4"/>
  <c r="R91" i="4"/>
  <c r="R98" i="4"/>
  <c r="R61" i="4"/>
  <c r="R79" i="4"/>
  <c r="R114" i="4"/>
  <c r="R125" i="4"/>
  <c r="R110" i="4"/>
  <c r="R86" i="4"/>
  <c r="R72" i="4"/>
  <c r="R83" i="4"/>
  <c r="R99" i="4"/>
  <c r="R105" i="4"/>
  <c r="R80" i="4"/>
  <c r="R56" i="4"/>
  <c r="R45" i="4"/>
  <c r="R118" i="4"/>
  <c r="R116" i="4"/>
  <c r="V112" i="4" a="1"/>
  <c r="V112" i="4" s="1"/>
  <c r="U112" i="4" a="1"/>
  <c r="U112" i="4" s="1"/>
  <c r="M112" i="4" s="1"/>
  <c r="S112" i="4" a="1"/>
  <c r="S112" i="4" s="1"/>
  <c r="K112" i="4" s="1"/>
  <c r="P112" i="4" s="1"/>
  <c r="J112" i="4"/>
  <c r="R96" i="4"/>
  <c r="R77" i="4"/>
  <c r="R87" i="4"/>
  <c r="R75" i="4"/>
  <c r="R81" i="4"/>
  <c r="R73" i="4"/>
  <c r="S128" i="4" a="1"/>
  <c r="S128" i="4" s="1"/>
  <c r="K128" i="4" s="1"/>
  <c r="J128" i="4"/>
  <c r="U128" i="4" a="1"/>
  <c r="U128" i="4" s="1"/>
  <c r="M128" i="4" s="1"/>
  <c r="V128" i="4" a="1"/>
  <c r="V128" i="4" s="1"/>
  <c r="S117" i="4" a="1"/>
  <c r="S117" i="4" s="1"/>
  <c r="K117" i="4" s="1"/>
  <c r="P117" i="4" s="1"/>
  <c r="U117" i="4" a="1"/>
  <c r="U117" i="4" s="1"/>
  <c r="M117" i="4" s="1"/>
  <c r="V117" i="4" a="1"/>
  <c r="V117" i="4" s="1"/>
  <c r="J117" i="4"/>
  <c r="R109" i="4"/>
  <c r="U48" i="4" a="1"/>
  <c r="U48" i="4" s="1"/>
  <c r="M48" i="4" s="1"/>
  <c r="J48" i="4"/>
  <c r="S48" i="4" a="1"/>
  <c r="S48" i="4" s="1"/>
  <c r="K48" i="4" s="1"/>
  <c r="P48" i="4" s="1"/>
  <c r="V48" i="4" a="1"/>
  <c r="V48" i="4" s="1"/>
  <c r="R122" i="4"/>
  <c r="R113" i="4"/>
  <c r="R63" i="4"/>
  <c r="R127" i="4"/>
  <c r="R124" i="4"/>
  <c r="R59" i="4"/>
  <c r="R71" i="4"/>
  <c r="R84" i="4"/>
  <c r="S57" i="4" a="1"/>
  <c r="S57" i="4" s="1"/>
  <c r="K57" i="4" s="1"/>
  <c r="P57" i="4" s="1"/>
  <c r="U57" i="4" a="1"/>
  <c r="U57" i="4" s="1"/>
  <c r="M57" i="4" s="1"/>
  <c r="V57" i="4" a="1"/>
  <c r="V57" i="4" s="1"/>
  <c r="J57" i="4"/>
  <c r="R62" i="4"/>
  <c r="R94" i="4"/>
  <c r="R103" i="4"/>
  <c r="R58" i="4"/>
  <c r="R107" i="4"/>
  <c r="R74" i="4"/>
  <c r="U53" i="4" a="1"/>
  <c r="U53" i="4" s="1"/>
  <c r="M53" i="4" s="1"/>
  <c r="S53" i="4" a="1"/>
  <c r="S53" i="4" s="1"/>
  <c r="K53" i="4" s="1"/>
  <c r="P53" i="4" s="1"/>
  <c r="V53" i="4" a="1"/>
  <c r="V53" i="4" s="1"/>
  <c r="S85" i="4" a="1"/>
  <c r="S85" i="4" s="1"/>
  <c r="K85" i="4" s="1"/>
  <c r="P85" i="4" s="1"/>
  <c r="V85" i="4" a="1"/>
  <c r="V85" i="4" s="1"/>
  <c r="U85" i="4" a="1"/>
  <c r="U85" i="4" s="1"/>
  <c r="M85" i="4" s="1"/>
  <c r="J85" i="4"/>
  <c r="R95" i="4"/>
  <c r="R76" i="4"/>
  <c r="R67" i="4"/>
  <c r="R68" i="4"/>
  <c r="S82" i="4" a="1"/>
  <c r="S82" i="4" s="1"/>
  <c r="K82" i="4" s="1"/>
  <c r="P82" i="4" s="1"/>
  <c r="J82" i="4"/>
  <c r="V82" i="4" a="1"/>
  <c r="V82" i="4" s="1"/>
  <c r="U82" i="4" a="1"/>
  <c r="U82" i="4" s="1"/>
  <c r="M82" i="4" s="1"/>
  <c r="R126" i="4"/>
  <c r="R90" i="4"/>
  <c r="R93" i="4"/>
  <c r="R92" i="4"/>
  <c r="R78" i="4"/>
  <c r="R51" i="4"/>
  <c r="R111" i="4"/>
  <c r="R121" i="4"/>
  <c r="R100" i="4"/>
  <c r="R110" i="1" l="1"/>
  <c r="P104" i="1"/>
  <c r="R104" i="1" s="1"/>
  <c r="P103" i="1"/>
  <c r="R103" i="1" s="1"/>
  <c r="P102" i="1"/>
  <c r="R102" i="1" s="1"/>
  <c r="P108" i="1"/>
  <c r="R108" i="1" s="1"/>
  <c r="J43" i="4"/>
  <c r="U43" i="4" a="1"/>
  <c r="U43" i="4" s="1"/>
  <c r="M43" i="4" s="1"/>
  <c r="S43" i="4" a="1"/>
  <c r="S43" i="4" s="1"/>
  <c r="K43" i="4" s="1"/>
  <c r="P43" i="4" s="1"/>
  <c r="V43" i="4" a="1"/>
  <c r="V43" i="4" s="1"/>
  <c r="U55" i="4" a="1"/>
  <c r="U55" i="4" s="1"/>
  <c r="M55" i="4" s="1"/>
  <c r="V55" i="4" a="1"/>
  <c r="V55" i="4" s="1"/>
  <c r="J55" i="4"/>
  <c r="U42" i="4" a="1"/>
  <c r="U42" i="4" s="1"/>
  <c r="M42" i="4" s="1"/>
  <c r="J42" i="4"/>
  <c r="V42" i="4" a="1"/>
  <c r="V42" i="4" s="1"/>
  <c r="S42" i="4" a="1"/>
  <c r="S42" i="4" s="1"/>
  <c r="K42" i="4" s="1"/>
  <c r="P42" i="4" s="1"/>
  <c r="V52" i="4" a="1"/>
  <c r="V52" i="4" s="1"/>
  <c r="T52" i="4" s="1"/>
  <c r="L52" i="4" s="1"/>
  <c r="V41" i="4" a="1"/>
  <c r="V41" i="4" s="1"/>
  <c r="J41" i="4"/>
  <c r="U41" i="4" a="1"/>
  <c r="U41" i="4" s="1"/>
  <c r="M41" i="4" s="1"/>
  <c r="S41" i="4" a="1"/>
  <c r="S41" i="4" s="1"/>
  <c r="K41" i="4" s="1"/>
  <c r="P41" i="4" s="1"/>
  <c r="J52" i="4"/>
  <c r="S52" i="4" a="1"/>
  <c r="S52" i="4" s="1"/>
  <c r="K52" i="4" s="1"/>
  <c r="P52" i="4" s="1"/>
  <c r="J104" i="4"/>
  <c r="S61" i="4" a="1"/>
  <c r="S61" i="4" s="1"/>
  <c r="K61" i="4" s="1"/>
  <c r="P61" i="4" s="1"/>
  <c r="U61" i="4" a="1"/>
  <c r="U61" i="4" s="1"/>
  <c r="M61" i="4" s="1"/>
  <c r="V61" i="4" a="1"/>
  <c r="V61" i="4" s="1"/>
  <c r="J61" i="4"/>
  <c r="N44" i="4"/>
  <c r="T44" i="4"/>
  <c r="L44" i="4" s="1"/>
  <c r="T119" i="4"/>
  <c r="L119" i="4" s="1"/>
  <c r="N119" i="4"/>
  <c r="T60" i="4"/>
  <c r="L60" i="4" s="1"/>
  <c r="N60" i="4"/>
  <c r="T112" i="4"/>
  <c r="L112" i="4" s="1"/>
  <c r="N112" i="4"/>
  <c r="T82" i="4"/>
  <c r="L82" i="4" s="1"/>
  <c r="N82" i="4"/>
  <c r="V91" i="4" a="1"/>
  <c r="V91" i="4" s="1"/>
  <c r="J91" i="4"/>
  <c r="S91" i="4" a="1"/>
  <c r="S91" i="4" s="1"/>
  <c r="K91" i="4" s="1"/>
  <c r="P91" i="4" s="1"/>
  <c r="U91" i="4" a="1"/>
  <c r="U91" i="4" s="1"/>
  <c r="M91" i="4" s="1"/>
  <c r="T120" i="4"/>
  <c r="L120" i="4" s="1"/>
  <c r="N120" i="4"/>
  <c r="T54" i="4"/>
  <c r="L54" i="4" s="1"/>
  <c r="N54" i="4"/>
  <c r="P128" i="4"/>
  <c r="S118" i="4" a="1"/>
  <c r="S118" i="4" s="1"/>
  <c r="K118" i="4" s="1"/>
  <c r="P118" i="4" s="1"/>
  <c r="J118" i="4"/>
  <c r="U118" i="4" a="1"/>
  <c r="U118" i="4" s="1"/>
  <c r="M118" i="4" s="1"/>
  <c r="V118" i="4" a="1"/>
  <c r="V118" i="4" s="1"/>
  <c r="U70" i="4" a="1"/>
  <c r="U70" i="4" s="1"/>
  <c r="M70" i="4" s="1"/>
  <c r="S70" i="4" a="1"/>
  <c r="S70" i="4" s="1"/>
  <c r="K70" i="4" s="1"/>
  <c r="P70" i="4" s="1"/>
  <c r="J70" i="4"/>
  <c r="V70" i="4" a="1"/>
  <c r="V70" i="4" s="1"/>
  <c r="T57" i="4"/>
  <c r="L57" i="4" s="1"/>
  <c r="N57" i="4"/>
  <c r="V49" i="4" a="1"/>
  <c r="V49" i="4" s="1"/>
  <c r="J49" i="4"/>
  <c r="U49" i="4" a="1"/>
  <c r="U49" i="4" s="1"/>
  <c r="M49" i="4" s="1"/>
  <c r="S49" i="4" a="1"/>
  <c r="S49" i="4" s="1"/>
  <c r="K49" i="4" s="1"/>
  <c r="S84" i="4" a="1"/>
  <c r="S84" i="4" s="1"/>
  <c r="K84" i="4" s="1"/>
  <c r="P84" i="4" s="1"/>
  <c r="J84" i="4"/>
  <c r="V84" i="4" a="1"/>
  <c r="V84" i="4" s="1"/>
  <c r="U84" i="4" a="1"/>
  <c r="U84" i="4" s="1"/>
  <c r="M84" i="4" s="1"/>
  <c r="S102" i="4" a="1"/>
  <c r="S102" i="4" s="1"/>
  <c r="K102" i="4" s="1"/>
  <c r="P102" i="4" s="1"/>
  <c r="J102" i="4"/>
  <c r="V102" i="4" a="1"/>
  <c r="V102" i="4" s="1"/>
  <c r="U102" i="4" a="1"/>
  <c r="U102" i="4" s="1"/>
  <c r="M102" i="4" s="1"/>
  <c r="J69" i="4"/>
  <c r="U69" i="4" a="1"/>
  <c r="U69" i="4" s="1"/>
  <c r="M69" i="4" s="1"/>
  <c r="S69" i="4" a="1"/>
  <c r="S69" i="4" s="1"/>
  <c r="K69" i="4" s="1"/>
  <c r="P69" i="4" s="1"/>
  <c r="V69" i="4" a="1"/>
  <c r="V69" i="4" s="1"/>
  <c r="N106" i="4"/>
  <c r="T106" i="4"/>
  <c r="L106" i="4" s="1"/>
  <c r="J116" i="4"/>
  <c r="U116" i="4" a="1"/>
  <c r="U116" i="4" s="1"/>
  <c r="M116" i="4" s="1"/>
  <c r="V116" i="4" a="1"/>
  <c r="V116" i="4" s="1"/>
  <c r="S116" i="4" a="1"/>
  <c r="S116" i="4" s="1"/>
  <c r="K116" i="4" s="1"/>
  <c r="P116" i="4" s="1"/>
  <c r="S75" i="4" a="1"/>
  <c r="S75" i="4" s="1"/>
  <c r="K75" i="4" s="1"/>
  <c r="P75" i="4" s="1"/>
  <c r="U75" i="4" a="1"/>
  <c r="U75" i="4" s="1"/>
  <c r="M75" i="4" s="1"/>
  <c r="V75" i="4" a="1"/>
  <c r="V75" i="4" s="1"/>
  <c r="J75" i="4"/>
  <c r="S115" i="4" a="1"/>
  <c r="S115" i="4" s="1"/>
  <c r="K115" i="4" s="1"/>
  <c r="P115" i="4" s="1"/>
  <c r="J115" i="4"/>
  <c r="U115" i="4" a="1"/>
  <c r="U115" i="4" s="1"/>
  <c r="M115" i="4" s="1"/>
  <c r="V115" i="4" a="1"/>
  <c r="V115" i="4" s="1"/>
  <c r="N55" i="4"/>
  <c r="T55" i="4"/>
  <c r="L55" i="4" s="1"/>
  <c r="U66" i="4" a="1"/>
  <c r="U66" i="4" s="1"/>
  <c r="M66" i="4" s="1"/>
  <c r="S66" i="4" a="1"/>
  <c r="S66" i="4" s="1"/>
  <c r="K66" i="4" s="1"/>
  <c r="P66" i="4" s="1"/>
  <c r="J66" i="4"/>
  <c r="V66" i="4" a="1"/>
  <c r="V66" i="4" s="1"/>
  <c r="S127" i="4" a="1"/>
  <c r="S127" i="4" s="1"/>
  <c r="K127" i="4" s="1"/>
  <c r="P127" i="4" s="1"/>
  <c r="U127" i="4" a="1"/>
  <c r="U127" i="4" s="1"/>
  <c r="M127" i="4" s="1"/>
  <c r="V127" i="4" a="1"/>
  <c r="V127" i="4" s="1"/>
  <c r="J127" i="4"/>
  <c r="S113" i="4" a="1"/>
  <c r="S113" i="4" s="1"/>
  <c r="K113" i="4" s="1"/>
  <c r="P113" i="4" s="1"/>
  <c r="J113" i="4"/>
  <c r="V113" i="4" a="1"/>
  <c r="V113" i="4" s="1"/>
  <c r="U113" i="4" a="1"/>
  <c r="U113" i="4" s="1"/>
  <c r="M113" i="4" s="1"/>
  <c r="V87" i="4" a="1"/>
  <c r="V87" i="4" s="1"/>
  <c r="S87" i="4" a="1"/>
  <c r="S87" i="4" s="1"/>
  <c r="K87" i="4" s="1"/>
  <c r="P87" i="4" s="1"/>
  <c r="J87" i="4"/>
  <c r="U87" i="4" a="1"/>
  <c r="U87" i="4" s="1"/>
  <c r="M87" i="4" s="1"/>
  <c r="V105" i="4" a="1"/>
  <c r="V105" i="4" s="1"/>
  <c r="J105" i="4"/>
  <c r="S105" i="4" a="1"/>
  <c r="S105" i="4" s="1"/>
  <c r="K105" i="4" s="1"/>
  <c r="P105" i="4" s="1"/>
  <c r="U105" i="4" a="1"/>
  <c r="U105" i="4" s="1"/>
  <c r="M105" i="4" s="1"/>
  <c r="U50" i="4" a="1"/>
  <c r="U50" i="4" s="1"/>
  <c r="M50" i="4" s="1"/>
  <c r="K50" i="4"/>
  <c r="J50" i="4"/>
  <c r="V50" i="4" a="1"/>
  <c r="V50" i="4" s="1"/>
  <c r="U73" i="4" a="1"/>
  <c r="U73" i="4" s="1"/>
  <c r="M73" i="4" s="1"/>
  <c r="J73" i="4"/>
  <c r="S73" i="4" a="1"/>
  <c r="S73" i="4" s="1"/>
  <c r="K73" i="4" s="1"/>
  <c r="P73" i="4" s="1"/>
  <c r="V73" i="4" a="1"/>
  <c r="V73" i="4" s="1"/>
  <c r="S71" i="4" a="1"/>
  <c r="S71" i="4" s="1"/>
  <c r="K71" i="4" s="1"/>
  <c r="P71" i="4" s="1"/>
  <c r="U71" i="4" a="1"/>
  <c r="U71" i="4" s="1"/>
  <c r="M71" i="4" s="1"/>
  <c r="J71" i="4"/>
  <c r="V71" i="4" a="1"/>
  <c r="V71" i="4" s="1"/>
  <c r="S77" i="4" a="1"/>
  <c r="S77" i="4" s="1"/>
  <c r="K77" i="4" s="1"/>
  <c r="P77" i="4" s="1"/>
  <c r="U77" i="4" a="1"/>
  <c r="U77" i="4" s="1"/>
  <c r="M77" i="4" s="1"/>
  <c r="V77" i="4" a="1"/>
  <c r="V77" i="4" s="1"/>
  <c r="J77" i="4"/>
  <c r="S99" i="4" a="1"/>
  <c r="S99" i="4" s="1"/>
  <c r="K99" i="4" s="1"/>
  <c r="P99" i="4" s="1"/>
  <c r="J99" i="4"/>
  <c r="U99" i="4" a="1"/>
  <c r="U99" i="4" s="1"/>
  <c r="M99" i="4" s="1"/>
  <c r="V99" i="4" a="1"/>
  <c r="V99" i="4" s="1"/>
  <c r="U46" i="4" a="1"/>
  <c r="U46" i="4" s="1"/>
  <c r="M46" i="4" s="1"/>
  <c r="S46" i="4" a="1"/>
  <c r="S46" i="4" s="1"/>
  <c r="K46" i="4" s="1"/>
  <c r="P46" i="4" s="1"/>
  <c r="J46" i="4"/>
  <c r="V46" i="4" a="1"/>
  <c r="V46" i="4" s="1"/>
  <c r="U68" i="4" a="1"/>
  <c r="U68" i="4" s="1"/>
  <c r="M68" i="4" s="1"/>
  <c r="S68" i="4" a="1"/>
  <c r="S68" i="4" s="1"/>
  <c r="K68" i="4" s="1"/>
  <c r="P68" i="4" s="1"/>
  <c r="J68" i="4"/>
  <c r="V68" i="4" a="1"/>
  <c r="V68" i="4" s="1"/>
  <c r="J76" i="4"/>
  <c r="U76" i="4" a="1"/>
  <c r="U76" i="4" s="1"/>
  <c r="M76" i="4" s="1"/>
  <c r="S76" i="4" a="1"/>
  <c r="S76" i="4" s="1"/>
  <c r="K76" i="4" s="1"/>
  <c r="P76" i="4" s="1"/>
  <c r="V76" i="4" a="1"/>
  <c r="V76" i="4" s="1"/>
  <c r="V96" i="4" a="1"/>
  <c r="V96" i="4" s="1"/>
  <c r="U96" i="4" a="1"/>
  <c r="U96" i="4" s="1"/>
  <c r="M96" i="4" s="1"/>
  <c r="J96" i="4"/>
  <c r="S96" i="4" a="1"/>
  <c r="S96" i="4" s="1"/>
  <c r="K96" i="4" s="1"/>
  <c r="P96" i="4" s="1"/>
  <c r="S83" i="4" a="1"/>
  <c r="S83" i="4" s="1"/>
  <c r="K83" i="4" s="1"/>
  <c r="P83" i="4" s="1"/>
  <c r="U83" i="4" a="1"/>
  <c r="U83" i="4" s="1"/>
  <c r="M83" i="4" s="1"/>
  <c r="J83" i="4"/>
  <c r="V83" i="4" a="1"/>
  <c r="V83" i="4" s="1"/>
  <c r="U101" i="4" a="1"/>
  <c r="U101" i="4" s="1"/>
  <c r="M101" i="4" s="1"/>
  <c r="J101" i="4"/>
  <c r="S101" i="4" a="1"/>
  <c r="S101" i="4" s="1"/>
  <c r="K101" i="4" s="1"/>
  <c r="P101" i="4" s="1"/>
  <c r="V101" i="4" a="1"/>
  <c r="V101" i="4" s="1"/>
  <c r="T64" i="4"/>
  <c r="L64" i="4" s="1"/>
  <c r="N64" i="4"/>
  <c r="T123" i="4"/>
  <c r="L123" i="4" s="1"/>
  <c r="N123" i="4"/>
  <c r="U62" i="4" a="1"/>
  <c r="U62" i="4" s="1"/>
  <c r="M62" i="4" s="1"/>
  <c r="S62" i="4" a="1"/>
  <c r="S62" i="4" s="1"/>
  <c r="K62" i="4" s="1"/>
  <c r="P62" i="4" s="1"/>
  <c r="J62" i="4"/>
  <c r="V62" i="4" a="1"/>
  <c r="V62" i="4" s="1"/>
  <c r="J81" i="4"/>
  <c r="U81" i="4" a="1"/>
  <c r="U81" i="4" s="1"/>
  <c r="M81" i="4" s="1"/>
  <c r="S81" i="4" a="1"/>
  <c r="S81" i="4" s="1"/>
  <c r="K81" i="4" s="1"/>
  <c r="P81" i="4" s="1"/>
  <c r="V81" i="4" a="1"/>
  <c r="V81" i="4" s="1"/>
  <c r="U72" i="4" a="1"/>
  <c r="U72" i="4" s="1"/>
  <c r="M72" i="4" s="1"/>
  <c r="J72" i="4"/>
  <c r="S72" i="4" a="1"/>
  <c r="S72" i="4" s="1"/>
  <c r="K72" i="4" s="1"/>
  <c r="P72" i="4" s="1"/>
  <c r="V72" i="4" a="1"/>
  <c r="V72" i="4" s="1"/>
  <c r="U47" i="4" a="1"/>
  <c r="U47" i="4" s="1"/>
  <c r="M47" i="4" s="1"/>
  <c r="V47" i="4" a="1"/>
  <c r="V47" i="4" s="1"/>
  <c r="S47" i="4" a="1"/>
  <c r="S47" i="4" s="1"/>
  <c r="K47" i="4" s="1"/>
  <c r="P47" i="4" s="1"/>
  <c r="J47" i="4"/>
  <c r="S80" i="4" a="1"/>
  <c r="S80" i="4" s="1"/>
  <c r="K80" i="4" s="1"/>
  <c r="P80" i="4" s="1"/>
  <c r="J80" i="4"/>
  <c r="V80" i="4" a="1"/>
  <c r="V80" i="4" s="1"/>
  <c r="U80" i="4" a="1"/>
  <c r="U80" i="4" s="1"/>
  <c r="M80" i="4" s="1"/>
  <c r="S100" i="4" a="1"/>
  <c r="S100" i="4" s="1"/>
  <c r="K100" i="4" s="1"/>
  <c r="P100" i="4" s="1"/>
  <c r="J100" i="4"/>
  <c r="U100" i="4" a="1"/>
  <c r="U100" i="4" s="1"/>
  <c r="M100" i="4" s="1"/>
  <c r="V100" i="4" a="1"/>
  <c r="V100" i="4" s="1"/>
  <c r="N85" i="4"/>
  <c r="T85" i="4"/>
  <c r="L85" i="4" s="1"/>
  <c r="U74" i="4" a="1"/>
  <c r="U74" i="4" s="1"/>
  <c r="M74" i="4" s="1"/>
  <c r="J74" i="4"/>
  <c r="S74" i="4" a="1"/>
  <c r="S74" i="4" s="1"/>
  <c r="K74" i="4" s="1"/>
  <c r="P74" i="4" s="1"/>
  <c r="V74" i="4" a="1"/>
  <c r="V74" i="4" s="1"/>
  <c r="V109" i="4" a="1"/>
  <c r="V109" i="4" s="1"/>
  <c r="S109" i="4" a="1"/>
  <c r="S109" i="4" s="1"/>
  <c r="K109" i="4" s="1"/>
  <c r="P109" i="4" s="1"/>
  <c r="U109" i="4" a="1"/>
  <c r="U109" i="4" s="1"/>
  <c r="M109" i="4" s="1"/>
  <c r="J109" i="4"/>
  <c r="S86" i="4" a="1"/>
  <c r="S86" i="4" s="1"/>
  <c r="K86" i="4" s="1"/>
  <c r="P86" i="4" s="1"/>
  <c r="J86" i="4"/>
  <c r="U86" i="4" a="1"/>
  <c r="U86" i="4" s="1"/>
  <c r="M86" i="4" s="1"/>
  <c r="V86" i="4" a="1"/>
  <c r="V86" i="4" s="1"/>
  <c r="S88" i="4" a="1"/>
  <c r="S88" i="4" s="1"/>
  <c r="K88" i="4" s="1"/>
  <c r="P88" i="4" s="1"/>
  <c r="J88" i="4"/>
  <c r="V88" i="4" a="1"/>
  <c r="V88" i="4" s="1"/>
  <c r="U88" i="4" a="1"/>
  <c r="U88" i="4" s="1"/>
  <c r="M88" i="4" s="1"/>
  <c r="V65" i="4" a="1"/>
  <c r="V65" i="4" s="1"/>
  <c r="S65" i="4" a="1"/>
  <c r="S65" i="4" s="1"/>
  <c r="K65" i="4" s="1"/>
  <c r="P65" i="4" s="1"/>
  <c r="J65" i="4"/>
  <c r="U65" i="4" a="1"/>
  <c r="U65" i="4" s="1"/>
  <c r="M65" i="4" s="1"/>
  <c r="T97" i="4"/>
  <c r="L97" i="4" s="1"/>
  <c r="N97" i="4"/>
  <c r="N128" i="4"/>
  <c r="T128" i="4"/>
  <c r="L128" i="4" s="1"/>
  <c r="J56" i="4"/>
  <c r="U56" i="4" a="1"/>
  <c r="U56" i="4" s="1"/>
  <c r="M56" i="4" s="1"/>
  <c r="S56" i="4" a="1"/>
  <c r="S56" i="4" s="1"/>
  <c r="K56" i="4" s="1"/>
  <c r="P56" i="4" s="1"/>
  <c r="V56" i="4" a="1"/>
  <c r="V56" i="4" s="1"/>
  <c r="S124" i="4" a="1"/>
  <c r="S124" i="4" s="1"/>
  <c r="K124" i="4" s="1"/>
  <c r="P124" i="4" s="1"/>
  <c r="J124" i="4"/>
  <c r="V124" i="4" a="1"/>
  <c r="V124" i="4" s="1"/>
  <c r="U124" i="4" a="1"/>
  <c r="U124" i="4" s="1"/>
  <c r="M124" i="4" s="1"/>
  <c r="S78" i="4" a="1"/>
  <c r="S78" i="4" s="1"/>
  <c r="K78" i="4" s="1"/>
  <c r="P78" i="4" s="1"/>
  <c r="J78" i="4"/>
  <c r="V78" i="4" a="1"/>
  <c r="V78" i="4" s="1"/>
  <c r="U78" i="4" a="1"/>
  <c r="U78" i="4" s="1"/>
  <c r="M78" i="4" s="1"/>
  <c r="J107" i="4"/>
  <c r="V107" i="4" a="1"/>
  <c r="V107" i="4" s="1"/>
  <c r="S107" i="4" a="1"/>
  <c r="S107" i="4" s="1"/>
  <c r="K107" i="4" s="1"/>
  <c r="P107" i="4" s="1"/>
  <c r="U107" i="4" a="1"/>
  <c r="U107" i="4" s="1"/>
  <c r="M107" i="4" s="1"/>
  <c r="S110" i="4" a="1"/>
  <c r="S110" i="4" s="1"/>
  <c r="K110" i="4" s="1"/>
  <c r="P110" i="4" s="1"/>
  <c r="J110" i="4"/>
  <c r="V110" i="4" a="1"/>
  <c r="V110" i="4" s="1"/>
  <c r="U110" i="4" a="1"/>
  <c r="U110" i="4" s="1"/>
  <c r="M110" i="4" s="1"/>
  <c r="S89" i="4" a="1"/>
  <c r="S89" i="4" s="1"/>
  <c r="K89" i="4" s="1"/>
  <c r="P89" i="4" s="1"/>
  <c r="J89" i="4"/>
  <c r="U89" i="4" a="1"/>
  <c r="U89" i="4" s="1"/>
  <c r="M89" i="4" s="1"/>
  <c r="V89" i="4" a="1"/>
  <c r="V89" i="4" s="1"/>
  <c r="T108" i="4"/>
  <c r="L108" i="4" s="1"/>
  <c r="N108" i="4"/>
  <c r="S126" i="4" a="1"/>
  <c r="S126" i="4" s="1"/>
  <c r="K126" i="4" s="1"/>
  <c r="P126" i="4" s="1"/>
  <c r="J126" i="4"/>
  <c r="V126" i="4" a="1"/>
  <c r="V126" i="4" s="1"/>
  <c r="U126" i="4" a="1"/>
  <c r="U126" i="4" s="1"/>
  <c r="M126" i="4" s="1"/>
  <c r="U122" i="4" a="1"/>
  <c r="U122" i="4" s="1"/>
  <c r="M122" i="4" s="1"/>
  <c r="J122" i="4"/>
  <c r="V122" i="4" a="1"/>
  <c r="V122" i="4" s="1"/>
  <c r="S122" i="4" a="1"/>
  <c r="S122" i="4" s="1"/>
  <c r="K122" i="4" s="1"/>
  <c r="P122" i="4" s="1"/>
  <c r="V95" i="4" a="1"/>
  <c r="V95" i="4" s="1"/>
  <c r="J95" i="4"/>
  <c r="S95" i="4" a="1"/>
  <c r="S95" i="4" s="1"/>
  <c r="K95" i="4" s="1"/>
  <c r="P95" i="4" s="1"/>
  <c r="U95" i="4" a="1"/>
  <c r="U95" i="4" s="1"/>
  <c r="M95" i="4" s="1"/>
  <c r="S111" i="4" a="1"/>
  <c r="S111" i="4" s="1"/>
  <c r="K111" i="4" s="1"/>
  <c r="P111" i="4" s="1"/>
  <c r="J111" i="4"/>
  <c r="V111" i="4" a="1"/>
  <c r="V111" i="4" s="1"/>
  <c r="U111" i="4" a="1"/>
  <c r="U111" i="4" s="1"/>
  <c r="M111" i="4" s="1"/>
  <c r="U58" i="4" a="1"/>
  <c r="U58" i="4" s="1"/>
  <c r="M58" i="4" s="1"/>
  <c r="J58" i="4"/>
  <c r="S58" i="4" a="1"/>
  <c r="S58" i="4" s="1"/>
  <c r="K58" i="4" s="1"/>
  <c r="P58" i="4" s="1"/>
  <c r="V58" i="4" a="1"/>
  <c r="V58" i="4" s="1"/>
  <c r="N117" i="4"/>
  <c r="T117" i="4"/>
  <c r="L117" i="4" s="1"/>
  <c r="S125" i="4" a="1"/>
  <c r="S125" i="4" s="1"/>
  <c r="K125" i="4" s="1"/>
  <c r="P125" i="4" s="1"/>
  <c r="J125" i="4"/>
  <c r="V125" i="4" a="1"/>
  <c r="V125" i="4" s="1"/>
  <c r="U125" i="4" a="1"/>
  <c r="U125" i="4" s="1"/>
  <c r="M125" i="4" s="1"/>
  <c r="P44" i="4"/>
  <c r="S63" i="4" a="1"/>
  <c r="S63" i="4" s="1"/>
  <c r="K63" i="4" s="1"/>
  <c r="P63" i="4" s="1"/>
  <c r="J63" i="4"/>
  <c r="V63" i="4" a="1"/>
  <c r="V63" i="4" s="1"/>
  <c r="U63" i="4" a="1"/>
  <c r="U63" i="4" s="1"/>
  <c r="M63" i="4" s="1"/>
  <c r="J67" i="4"/>
  <c r="S67" i="4" a="1"/>
  <c r="S67" i="4" s="1"/>
  <c r="K67" i="4" s="1"/>
  <c r="P67" i="4" s="1"/>
  <c r="U67" i="4" a="1"/>
  <c r="U67" i="4" s="1"/>
  <c r="M67" i="4" s="1"/>
  <c r="V67" i="4" a="1"/>
  <c r="V67" i="4" s="1"/>
  <c r="T48" i="4"/>
  <c r="L48" i="4" s="1"/>
  <c r="N48" i="4"/>
  <c r="V92" i="4" a="1"/>
  <c r="V92" i="4" s="1"/>
  <c r="U92" i="4" a="1"/>
  <c r="U92" i="4" s="1"/>
  <c r="M92" i="4" s="1"/>
  <c r="J92" i="4"/>
  <c r="S92" i="4" a="1"/>
  <c r="S92" i="4" s="1"/>
  <c r="K92" i="4" s="1"/>
  <c r="P92" i="4" s="1"/>
  <c r="S93" i="4" a="1"/>
  <c r="S93" i="4" s="1"/>
  <c r="K93" i="4" s="1"/>
  <c r="P93" i="4" s="1"/>
  <c r="J93" i="4"/>
  <c r="U93" i="4" a="1"/>
  <c r="U93" i="4" s="1"/>
  <c r="M93" i="4" s="1"/>
  <c r="V93" i="4" a="1"/>
  <c r="V93" i="4" s="1"/>
  <c r="T53" i="4"/>
  <c r="L53" i="4" s="1"/>
  <c r="N53" i="4"/>
  <c r="S103" i="4" a="1"/>
  <c r="S103" i="4" s="1"/>
  <c r="K103" i="4" s="1"/>
  <c r="P103" i="4" s="1"/>
  <c r="U103" i="4" a="1"/>
  <c r="U103" i="4" s="1"/>
  <c r="M103" i="4" s="1"/>
  <c r="V103" i="4" a="1"/>
  <c r="V103" i="4" s="1"/>
  <c r="J103" i="4"/>
  <c r="S114" i="4" a="1"/>
  <c r="S114" i="4" s="1"/>
  <c r="K114" i="4" s="1"/>
  <c r="P114" i="4" s="1"/>
  <c r="J114" i="4"/>
  <c r="V114" i="4" a="1"/>
  <c r="V114" i="4" s="1"/>
  <c r="U114" i="4" a="1"/>
  <c r="U114" i="4" s="1"/>
  <c r="M114" i="4" s="1"/>
  <c r="T104" i="4"/>
  <c r="L104" i="4" s="1"/>
  <c r="N104" i="4"/>
  <c r="U98" i="4" a="1"/>
  <c r="U98" i="4" s="1"/>
  <c r="M98" i="4" s="1"/>
  <c r="V98" i="4" a="1"/>
  <c r="V98" i="4" s="1"/>
  <c r="S98" i="4" a="1"/>
  <c r="S98" i="4" s="1"/>
  <c r="K98" i="4" s="1"/>
  <c r="P98" i="4" s="1"/>
  <c r="J98" i="4"/>
  <c r="U45" i="4" a="1"/>
  <c r="U45" i="4" s="1"/>
  <c r="M45" i="4" s="1"/>
  <c r="S45" i="4" a="1"/>
  <c r="S45" i="4" s="1"/>
  <c r="K45" i="4" s="1"/>
  <c r="P45" i="4" s="1"/>
  <c r="J45" i="4"/>
  <c r="V45" i="4" a="1"/>
  <c r="V45" i="4" s="1"/>
  <c r="J59" i="4"/>
  <c r="S59" i="4" a="1"/>
  <c r="S59" i="4" s="1"/>
  <c r="K59" i="4" s="1"/>
  <c r="P59" i="4" s="1"/>
  <c r="U59" i="4" a="1"/>
  <c r="U59" i="4" s="1"/>
  <c r="M59" i="4" s="1"/>
  <c r="V59" i="4" a="1"/>
  <c r="V59" i="4" s="1"/>
  <c r="S121" i="4" a="1"/>
  <c r="S121" i="4" s="1"/>
  <c r="K121" i="4" s="1"/>
  <c r="P121" i="4" s="1"/>
  <c r="J121" i="4"/>
  <c r="U121" i="4" a="1"/>
  <c r="U121" i="4" s="1"/>
  <c r="M121" i="4" s="1"/>
  <c r="V121" i="4" a="1"/>
  <c r="V121" i="4" s="1"/>
  <c r="J51" i="4"/>
  <c r="U51" i="4" a="1"/>
  <c r="U51" i="4" s="1"/>
  <c r="M51" i="4" s="1"/>
  <c r="V51" i="4" a="1"/>
  <c r="V51" i="4" s="1"/>
  <c r="S51" i="4" a="1"/>
  <c r="S51" i="4" s="1"/>
  <c r="K51" i="4" s="1"/>
  <c r="P51" i="4" s="1"/>
  <c r="S90" i="4" a="1"/>
  <c r="S90" i="4" s="1"/>
  <c r="K90" i="4" s="1"/>
  <c r="P90" i="4" s="1"/>
  <c r="J90" i="4"/>
  <c r="V90" i="4" a="1"/>
  <c r="V90" i="4" s="1"/>
  <c r="U90" i="4" a="1"/>
  <c r="U90" i="4" s="1"/>
  <c r="M90" i="4" s="1"/>
  <c r="U94" i="4" a="1"/>
  <c r="U94" i="4" s="1"/>
  <c r="M94" i="4" s="1"/>
  <c r="V94" i="4" a="1"/>
  <c r="V94" i="4" s="1"/>
  <c r="J94" i="4"/>
  <c r="S94" i="4" a="1"/>
  <c r="S94" i="4" s="1"/>
  <c r="K94" i="4" s="1"/>
  <c r="P94" i="4" s="1"/>
  <c r="S79" i="4" a="1"/>
  <c r="S79" i="4" s="1"/>
  <c r="K79" i="4" s="1"/>
  <c r="P79" i="4" s="1"/>
  <c r="J79" i="4"/>
  <c r="U79" i="4" a="1"/>
  <c r="U79" i="4" s="1"/>
  <c r="M79" i="4" s="1"/>
  <c r="V79" i="4" a="1"/>
  <c r="V79" i="4" s="1"/>
  <c r="P105" i="1" l="1"/>
  <c r="R105" i="1" s="1"/>
  <c r="Y102" i="1" s="1"/>
  <c r="T41" i="4"/>
  <c r="L41" i="4" s="1"/>
  <c r="N41" i="4"/>
  <c r="T42" i="4"/>
  <c r="L42" i="4" s="1"/>
  <c r="N42" i="4"/>
  <c r="T43" i="4"/>
  <c r="L43" i="4" s="1"/>
  <c r="N43" i="4"/>
  <c r="N52" i="4"/>
  <c r="X52" i="4"/>
  <c r="Z52" i="4"/>
  <c r="AB52" i="4"/>
  <c r="AD52" i="4"/>
  <c r="AF52" i="4"/>
  <c r="AH52" i="4"/>
  <c r="AJ52" i="4"/>
  <c r="AL52" i="4"/>
  <c r="AN52" i="4"/>
  <c r="AP52" i="4"/>
  <c r="N87" i="4"/>
  <c r="T87" i="4"/>
  <c r="L87" i="4" s="1"/>
  <c r="N86" i="4"/>
  <c r="T86" i="4"/>
  <c r="L86" i="4" s="1"/>
  <c r="N81" i="4"/>
  <c r="T81" i="4"/>
  <c r="L81" i="4" s="1"/>
  <c r="N83" i="4"/>
  <c r="T83" i="4"/>
  <c r="L83" i="4" s="1"/>
  <c r="T46" i="4"/>
  <c r="L46" i="4" s="1"/>
  <c r="N46" i="4"/>
  <c r="T73" i="4"/>
  <c r="L73" i="4" s="1"/>
  <c r="N73" i="4"/>
  <c r="T91" i="4"/>
  <c r="L91" i="4" s="1"/>
  <c r="N91" i="4"/>
  <c r="T113" i="4"/>
  <c r="L113" i="4" s="1"/>
  <c r="N113" i="4"/>
  <c r="T102" i="4"/>
  <c r="L102" i="4" s="1"/>
  <c r="N102" i="4"/>
  <c r="T45" i="4"/>
  <c r="L45" i="4" s="1"/>
  <c r="N45" i="4"/>
  <c r="T90" i="4"/>
  <c r="L90" i="4" s="1"/>
  <c r="N90" i="4"/>
  <c r="N118" i="4"/>
  <c r="T118" i="4"/>
  <c r="L118" i="4" s="1"/>
  <c r="AH82" i="4"/>
  <c r="X82" i="4"/>
  <c r="AN82" i="4"/>
  <c r="Z82" i="4"/>
  <c r="AB82" i="4"/>
  <c r="AD82" i="4"/>
  <c r="AF82" i="4"/>
  <c r="AJ82" i="4"/>
  <c r="AL82" i="4"/>
  <c r="AP82" i="4"/>
  <c r="T122" i="4"/>
  <c r="L122" i="4" s="1"/>
  <c r="N122" i="4"/>
  <c r="T80" i="4"/>
  <c r="L80" i="4" s="1"/>
  <c r="N80" i="4"/>
  <c r="T75" i="4"/>
  <c r="L75" i="4" s="1"/>
  <c r="N75" i="4"/>
  <c r="AD117" i="4"/>
  <c r="AF117" i="4"/>
  <c r="AJ117" i="4"/>
  <c r="AH117" i="4"/>
  <c r="Z117" i="4"/>
  <c r="AL117" i="4"/>
  <c r="AN117" i="4"/>
  <c r="AP117" i="4"/>
  <c r="X117" i="4"/>
  <c r="AB117" i="4"/>
  <c r="X128" i="4"/>
  <c r="AB128" i="4"/>
  <c r="AL128" i="4"/>
  <c r="AD128" i="4"/>
  <c r="AF128" i="4"/>
  <c r="AH128" i="4"/>
  <c r="AJ128" i="4"/>
  <c r="AN128" i="4"/>
  <c r="Z128" i="4"/>
  <c r="AP128" i="4"/>
  <c r="T62" i="4"/>
  <c r="L62" i="4" s="1"/>
  <c r="N62" i="4"/>
  <c r="T99" i="4"/>
  <c r="L99" i="4" s="1"/>
  <c r="N99" i="4"/>
  <c r="N50" i="4"/>
  <c r="T50" i="4"/>
  <c r="L50" i="4" s="1"/>
  <c r="Z112" i="4"/>
  <c r="AP112" i="4"/>
  <c r="X112" i="4"/>
  <c r="AB112" i="4"/>
  <c r="AD112" i="4"/>
  <c r="AF112" i="4"/>
  <c r="AH112" i="4"/>
  <c r="AJ112" i="4"/>
  <c r="AL112" i="4"/>
  <c r="AN112" i="4"/>
  <c r="N51" i="4"/>
  <c r="T51" i="4"/>
  <c r="L51" i="4" s="1"/>
  <c r="T127" i="4"/>
  <c r="L127" i="4" s="1"/>
  <c r="N127" i="4"/>
  <c r="T84" i="4"/>
  <c r="L84" i="4" s="1"/>
  <c r="N84" i="4"/>
  <c r="BC25" i="4"/>
  <c r="T58" i="4"/>
  <c r="L58" i="4" s="1"/>
  <c r="N58" i="4"/>
  <c r="N107" i="4"/>
  <c r="T107" i="4"/>
  <c r="L107" i="4" s="1"/>
  <c r="AJ60" i="4"/>
  <c r="X60" i="4"/>
  <c r="AB60" i="4"/>
  <c r="AN60" i="4"/>
  <c r="AD60" i="4"/>
  <c r="AF60" i="4"/>
  <c r="Z60" i="4"/>
  <c r="AH60" i="4"/>
  <c r="AL60" i="4"/>
  <c r="AP60" i="4"/>
  <c r="T103" i="4"/>
  <c r="L103" i="4" s="1"/>
  <c r="N103" i="4"/>
  <c r="T93" i="4"/>
  <c r="L93" i="4" s="1"/>
  <c r="N93" i="4"/>
  <c r="T126" i="4"/>
  <c r="L126" i="4" s="1"/>
  <c r="N126" i="4"/>
  <c r="X97" i="4"/>
  <c r="AB97" i="4"/>
  <c r="AJ97" i="4"/>
  <c r="AD97" i="4"/>
  <c r="AF97" i="4"/>
  <c r="AH97" i="4"/>
  <c r="AL97" i="4"/>
  <c r="AN97" i="4"/>
  <c r="AP97" i="4"/>
  <c r="Z97" i="4"/>
  <c r="N109" i="4"/>
  <c r="T109" i="4"/>
  <c r="L109" i="4" s="1"/>
  <c r="T96" i="4"/>
  <c r="L96" i="4" s="1"/>
  <c r="N96" i="4"/>
  <c r="P50" i="4"/>
  <c r="N116" i="4"/>
  <c r="T116" i="4"/>
  <c r="L116" i="4" s="1"/>
  <c r="BZ20" i="4"/>
  <c r="N56" i="4"/>
  <c r="T56" i="4"/>
  <c r="L56" i="4" s="1"/>
  <c r="BB25" i="4"/>
  <c r="N74" i="4"/>
  <c r="T74" i="4"/>
  <c r="L74" i="4" s="1"/>
  <c r="N47" i="4"/>
  <c r="T47" i="4"/>
  <c r="L47" i="4" s="1"/>
  <c r="T76" i="4"/>
  <c r="L76" i="4" s="1"/>
  <c r="N76" i="4"/>
  <c r="T66" i="4"/>
  <c r="L66" i="4" s="1"/>
  <c r="N66" i="4"/>
  <c r="AU25" i="4"/>
  <c r="AN119" i="4"/>
  <c r="AP119" i="4"/>
  <c r="X119" i="4"/>
  <c r="AB119" i="4"/>
  <c r="AD119" i="4"/>
  <c r="AF119" i="4"/>
  <c r="AJ119" i="4"/>
  <c r="AH119" i="4"/>
  <c r="AL119" i="4"/>
  <c r="Z119" i="4"/>
  <c r="N110" i="4"/>
  <c r="T110" i="4"/>
  <c r="L110" i="4" s="1"/>
  <c r="T63" i="4"/>
  <c r="L63" i="4" s="1"/>
  <c r="N63" i="4"/>
  <c r="AN104" i="4"/>
  <c r="AP104" i="4"/>
  <c r="X104" i="4"/>
  <c r="Z104" i="4"/>
  <c r="AB104" i="4"/>
  <c r="AD104" i="4"/>
  <c r="AF104" i="4"/>
  <c r="AH104" i="4"/>
  <c r="AJ104" i="4"/>
  <c r="AL104" i="4"/>
  <c r="T78" i="4"/>
  <c r="L78" i="4" s="1"/>
  <c r="N78" i="4"/>
  <c r="AN123" i="4"/>
  <c r="X123" i="4"/>
  <c r="AP123" i="4"/>
  <c r="Z123" i="4"/>
  <c r="AJ123" i="4"/>
  <c r="AB123" i="4"/>
  <c r="AD123" i="4"/>
  <c r="AF123" i="4"/>
  <c r="AH123" i="4"/>
  <c r="AL123" i="4"/>
  <c r="N77" i="4"/>
  <c r="T77" i="4"/>
  <c r="L77" i="4" s="1"/>
  <c r="P49" i="4"/>
  <c r="X44" i="4"/>
  <c r="AB44" i="4"/>
  <c r="AD44" i="4"/>
  <c r="AF44" i="4"/>
  <c r="Z44" i="4"/>
  <c r="AH44" i="4"/>
  <c r="AJ44" i="4"/>
  <c r="AL44" i="4"/>
  <c r="AN44" i="4"/>
  <c r="AP44" i="4"/>
  <c r="AY25" i="4"/>
  <c r="AX25" i="4"/>
  <c r="T72" i="4"/>
  <c r="L72" i="4" s="1"/>
  <c r="N72" i="4"/>
  <c r="Z106" i="4"/>
  <c r="AD106" i="4"/>
  <c r="AF106" i="4"/>
  <c r="AH106" i="4"/>
  <c r="AJ106" i="4"/>
  <c r="AL106" i="4"/>
  <c r="AN106" i="4"/>
  <c r="AP106" i="4"/>
  <c r="X106" i="4"/>
  <c r="AB106" i="4"/>
  <c r="AH54" i="4"/>
  <c r="AJ54" i="4"/>
  <c r="AL54" i="4"/>
  <c r="AN54" i="4"/>
  <c r="AP54" i="4"/>
  <c r="Z54" i="4"/>
  <c r="X54" i="4"/>
  <c r="AB54" i="4"/>
  <c r="AD54" i="4"/>
  <c r="AF54" i="4"/>
  <c r="T125" i="4"/>
  <c r="L125" i="4" s="1"/>
  <c r="N125" i="4"/>
  <c r="N121" i="4"/>
  <c r="T121" i="4"/>
  <c r="L121" i="4" s="1"/>
  <c r="N114" i="4"/>
  <c r="T114" i="4"/>
  <c r="L114" i="4" s="1"/>
  <c r="BA25" i="4"/>
  <c r="T111" i="4"/>
  <c r="L111" i="4" s="1"/>
  <c r="N111" i="4"/>
  <c r="Z108" i="4"/>
  <c r="AH108" i="4"/>
  <c r="AJ108" i="4"/>
  <c r="AL108" i="4"/>
  <c r="AN108" i="4"/>
  <c r="AP108" i="4"/>
  <c r="X108" i="4"/>
  <c r="AB108" i="4"/>
  <c r="AD108" i="4"/>
  <c r="AF108" i="4"/>
  <c r="N65" i="4"/>
  <c r="T65" i="4"/>
  <c r="L65" i="4" s="1"/>
  <c r="Z64" i="4"/>
  <c r="AP64" i="4"/>
  <c r="X64" i="4"/>
  <c r="AB64" i="4"/>
  <c r="AD64" i="4"/>
  <c r="AF64" i="4"/>
  <c r="AH64" i="4"/>
  <c r="AL64" i="4"/>
  <c r="AJ64" i="4"/>
  <c r="AN64" i="4"/>
  <c r="T105" i="4"/>
  <c r="L105" i="4" s="1"/>
  <c r="N105" i="4"/>
  <c r="T49" i="4"/>
  <c r="L49" i="4" s="1"/>
  <c r="N49" i="4"/>
  <c r="T95" i="4"/>
  <c r="L95" i="4" s="1"/>
  <c r="N95" i="4"/>
  <c r="AV25" i="4"/>
  <c r="N92" i="4"/>
  <c r="T92" i="4"/>
  <c r="L92" i="4" s="1"/>
  <c r="T59" i="4"/>
  <c r="L59" i="4" s="1"/>
  <c r="N59" i="4"/>
  <c r="AW25" i="4"/>
  <c r="T89" i="4"/>
  <c r="L89" i="4" s="1"/>
  <c r="N89" i="4"/>
  <c r="Z85" i="4"/>
  <c r="AL85" i="4"/>
  <c r="AN85" i="4"/>
  <c r="AP85" i="4"/>
  <c r="X85" i="4"/>
  <c r="AB85" i="4"/>
  <c r="AJ85" i="4"/>
  <c r="AD85" i="4"/>
  <c r="AF85" i="4"/>
  <c r="AH85" i="4"/>
  <c r="T101" i="4"/>
  <c r="L101" i="4" s="1"/>
  <c r="N101" i="4"/>
  <c r="T68" i="4"/>
  <c r="L68" i="4" s="1"/>
  <c r="N68" i="4"/>
  <c r="T71" i="4"/>
  <c r="L71" i="4" s="1"/>
  <c r="N71" i="4"/>
  <c r="AD55" i="4"/>
  <c r="AF55" i="4"/>
  <c r="AJ55" i="4"/>
  <c r="AH55" i="4"/>
  <c r="AL55" i="4"/>
  <c r="Z55" i="4"/>
  <c r="AN55" i="4"/>
  <c r="AP55" i="4"/>
  <c r="X55" i="4"/>
  <c r="AB55" i="4"/>
  <c r="N69" i="4"/>
  <c r="T69" i="4"/>
  <c r="L69" i="4" s="1"/>
  <c r="X120" i="4"/>
  <c r="AH120" i="4"/>
  <c r="Z120" i="4"/>
  <c r="AB120" i="4"/>
  <c r="AD120" i="4"/>
  <c r="AL120" i="4"/>
  <c r="AF120" i="4"/>
  <c r="AN120" i="4"/>
  <c r="AP120" i="4"/>
  <c r="AJ120" i="4"/>
  <c r="T61" i="4"/>
  <c r="L61" i="4" s="1"/>
  <c r="N61" i="4"/>
  <c r="AF53" i="4"/>
  <c r="X53" i="4"/>
  <c r="AH53" i="4"/>
  <c r="Z53" i="4"/>
  <c r="AL53" i="4"/>
  <c r="AN53" i="4"/>
  <c r="AP53" i="4"/>
  <c r="AB53" i="4"/>
  <c r="AJ53" i="4"/>
  <c r="AD53" i="4"/>
  <c r="N79" i="4"/>
  <c r="T79" i="4"/>
  <c r="L79" i="4" s="1"/>
  <c r="AZ25" i="4"/>
  <c r="N124" i="4"/>
  <c r="T124" i="4"/>
  <c r="L124" i="4" s="1"/>
  <c r="T88" i="4"/>
  <c r="L88" i="4" s="1"/>
  <c r="N88" i="4"/>
  <c r="AL57" i="4"/>
  <c r="AN57" i="4"/>
  <c r="AP57" i="4"/>
  <c r="Z57" i="4"/>
  <c r="X57" i="4"/>
  <c r="AB57" i="4"/>
  <c r="AJ57" i="4"/>
  <c r="AD57" i="4"/>
  <c r="AF57" i="4"/>
  <c r="AH57" i="4"/>
  <c r="T98" i="4"/>
  <c r="L98" i="4" s="1"/>
  <c r="N98" i="4"/>
  <c r="X48" i="4"/>
  <c r="AB48" i="4"/>
  <c r="AD48" i="4"/>
  <c r="AF48" i="4"/>
  <c r="AH48" i="4"/>
  <c r="AJ48" i="4"/>
  <c r="AL48" i="4"/>
  <c r="AN48" i="4"/>
  <c r="Z48" i="4"/>
  <c r="AP48" i="4"/>
  <c r="T94" i="4"/>
  <c r="L94" i="4" s="1"/>
  <c r="N94" i="4"/>
  <c r="T67" i="4"/>
  <c r="L67" i="4" s="1"/>
  <c r="N67" i="4"/>
  <c r="AT25" i="4"/>
  <c r="T100" i="4"/>
  <c r="L100" i="4" s="1"/>
  <c r="N100" i="4"/>
  <c r="T115" i="4"/>
  <c r="L115" i="4" s="1"/>
  <c r="N115" i="4"/>
  <c r="T70" i="4"/>
  <c r="L70" i="4" s="1"/>
  <c r="N70" i="4"/>
  <c r="C3" i="4" l="1"/>
  <c r="AL43" i="4"/>
  <c r="AN43" i="4"/>
  <c r="AP43" i="4"/>
  <c r="AD43" i="4"/>
  <c r="Z43" i="4"/>
  <c r="X43" i="4"/>
  <c r="AF43" i="4"/>
  <c r="AB43" i="4"/>
  <c r="AH43" i="4"/>
  <c r="AJ43" i="4"/>
  <c r="Z42" i="4"/>
  <c r="AF42" i="4"/>
  <c r="AH42" i="4"/>
  <c r="AN42" i="4"/>
  <c r="X42" i="4"/>
  <c r="AB42" i="4"/>
  <c r="AL42" i="4"/>
  <c r="AP42" i="4"/>
  <c r="AD42" i="4"/>
  <c r="AJ42" i="4"/>
  <c r="AL41" i="4"/>
  <c r="AN41" i="4"/>
  <c r="AF41" i="4"/>
  <c r="AP41" i="4"/>
  <c r="Z41" i="4"/>
  <c r="AB41" i="4"/>
  <c r="AJ41" i="4"/>
  <c r="X41" i="4"/>
  <c r="AH41" i="4"/>
  <c r="AD41" i="4"/>
  <c r="X80" i="4"/>
  <c r="AB80" i="4"/>
  <c r="AD80" i="4"/>
  <c r="AF80" i="4"/>
  <c r="AH80" i="4"/>
  <c r="AJ80" i="4"/>
  <c r="AL80" i="4"/>
  <c r="AN80" i="4"/>
  <c r="Z80" i="4"/>
  <c r="AP80" i="4"/>
  <c r="AP90" i="4"/>
  <c r="X90" i="4"/>
  <c r="AB90" i="4"/>
  <c r="Z90" i="4"/>
  <c r="AD90" i="4"/>
  <c r="AF90" i="4"/>
  <c r="AH90" i="4"/>
  <c r="AJ90" i="4"/>
  <c r="AL90" i="4"/>
  <c r="AN90" i="4"/>
  <c r="AH86" i="4"/>
  <c r="AJ86" i="4"/>
  <c r="AL86" i="4"/>
  <c r="AN86" i="4"/>
  <c r="AP86" i="4"/>
  <c r="Z86" i="4"/>
  <c r="X86" i="4"/>
  <c r="AB86" i="4"/>
  <c r="AD86" i="4"/>
  <c r="AF86" i="4"/>
  <c r="X122" i="4"/>
  <c r="AL122" i="4"/>
  <c r="AB122" i="4"/>
  <c r="Z122" i="4"/>
  <c r="AD122" i="4"/>
  <c r="AF122" i="4"/>
  <c r="AH122" i="4"/>
  <c r="AJ122" i="4"/>
  <c r="AN122" i="4"/>
  <c r="AP122" i="4"/>
  <c r="X45" i="4"/>
  <c r="AB45" i="4"/>
  <c r="AD45" i="4"/>
  <c r="AF45" i="4"/>
  <c r="AJ45" i="4"/>
  <c r="AH45" i="4"/>
  <c r="AL45" i="4"/>
  <c r="AN45" i="4"/>
  <c r="AP45" i="4"/>
  <c r="Z45" i="4"/>
  <c r="X96" i="4"/>
  <c r="AB96" i="4"/>
  <c r="AD96" i="4"/>
  <c r="AF96" i="4"/>
  <c r="AH96" i="4"/>
  <c r="AJ96" i="4"/>
  <c r="AL96" i="4"/>
  <c r="AN96" i="4"/>
  <c r="Z96" i="4"/>
  <c r="AP96" i="4"/>
  <c r="AJ124" i="4"/>
  <c r="AL124" i="4"/>
  <c r="AN124" i="4"/>
  <c r="AP124" i="4"/>
  <c r="X124" i="4"/>
  <c r="AB124" i="4"/>
  <c r="AD124" i="4"/>
  <c r="AF124" i="4"/>
  <c r="Z124" i="4"/>
  <c r="AH124" i="4"/>
  <c r="X63" i="4"/>
  <c r="AB63" i="4"/>
  <c r="AJ63" i="4"/>
  <c r="AD63" i="4"/>
  <c r="AF63" i="4"/>
  <c r="AH63" i="4"/>
  <c r="AL63" i="4"/>
  <c r="AN63" i="4"/>
  <c r="AP63" i="4"/>
  <c r="Z63" i="4"/>
  <c r="AL103" i="4"/>
  <c r="Z103" i="4"/>
  <c r="AN103" i="4"/>
  <c r="AP103" i="4"/>
  <c r="AB103" i="4"/>
  <c r="X103" i="4"/>
  <c r="AD103" i="4"/>
  <c r="AH103" i="4"/>
  <c r="AF103" i="4"/>
  <c r="AJ103" i="4"/>
  <c r="X50" i="4"/>
  <c r="Z50" i="4"/>
  <c r="AB50" i="4"/>
  <c r="AD50" i="4"/>
  <c r="AF50" i="4"/>
  <c r="AH50" i="4"/>
  <c r="AL50" i="4"/>
  <c r="AJ50" i="4"/>
  <c r="AN50" i="4"/>
  <c r="AP50" i="4"/>
  <c r="X87" i="4"/>
  <c r="AB87" i="4"/>
  <c r="AD87" i="4"/>
  <c r="AJ87" i="4"/>
  <c r="AF87" i="4"/>
  <c r="AH87" i="4"/>
  <c r="AL87" i="4"/>
  <c r="Z87" i="4"/>
  <c r="AN87" i="4"/>
  <c r="AP87" i="4"/>
  <c r="X65" i="4"/>
  <c r="AB65" i="4"/>
  <c r="AD65" i="4"/>
  <c r="AF65" i="4"/>
  <c r="AL65" i="4"/>
  <c r="AJ65" i="4"/>
  <c r="AH65" i="4"/>
  <c r="AP65" i="4"/>
  <c r="AN65" i="4"/>
  <c r="Z65" i="4"/>
  <c r="X115" i="4"/>
  <c r="AB115" i="4"/>
  <c r="AD115" i="4"/>
  <c r="Z115" i="4"/>
  <c r="AJ115" i="4"/>
  <c r="AF115" i="4"/>
  <c r="AH115" i="4"/>
  <c r="AL115" i="4"/>
  <c r="AN115" i="4"/>
  <c r="AP115" i="4"/>
  <c r="X95" i="4"/>
  <c r="AB95" i="4"/>
  <c r="AJ95" i="4"/>
  <c r="AD95" i="4"/>
  <c r="AF95" i="4"/>
  <c r="AH95" i="4"/>
  <c r="AL95" i="4"/>
  <c r="AN95" i="4"/>
  <c r="AP95" i="4"/>
  <c r="Z95" i="4"/>
  <c r="Z110" i="4"/>
  <c r="AL110" i="4"/>
  <c r="AN110" i="4"/>
  <c r="AP110" i="4"/>
  <c r="AB110" i="4"/>
  <c r="X110" i="4"/>
  <c r="AD110" i="4"/>
  <c r="AF110" i="4"/>
  <c r="AH110" i="4"/>
  <c r="AJ110" i="4"/>
  <c r="X76" i="4"/>
  <c r="AB76" i="4"/>
  <c r="AL76" i="4"/>
  <c r="AD76" i="4"/>
  <c r="AF76" i="4"/>
  <c r="Z76" i="4"/>
  <c r="AH76" i="4"/>
  <c r="AJ76" i="4"/>
  <c r="AN76" i="4"/>
  <c r="AP76" i="4"/>
  <c r="AN84" i="4"/>
  <c r="AP84" i="4"/>
  <c r="X84" i="4"/>
  <c r="Z84" i="4"/>
  <c r="AB84" i="4"/>
  <c r="AD84" i="4"/>
  <c r="AF84" i="4"/>
  <c r="AH84" i="4"/>
  <c r="AJ84" i="4"/>
  <c r="AL84" i="4"/>
  <c r="AB102" i="4"/>
  <c r="AD102" i="4"/>
  <c r="AF102" i="4"/>
  <c r="AH102" i="4"/>
  <c r="AJ102" i="4"/>
  <c r="AL102" i="4"/>
  <c r="AN102" i="4"/>
  <c r="Z102" i="4"/>
  <c r="AP102" i="4"/>
  <c r="X102" i="4"/>
  <c r="AV36" i="4" a="1"/>
  <c r="AV36" i="4" s="1"/>
  <c r="AV48" i="4" a="1"/>
  <c r="AV48" i="4" s="1"/>
  <c r="AV34" i="4" a="1"/>
  <c r="AV34" i="4" s="1"/>
  <c r="AV41" i="4" a="1"/>
  <c r="AV41" i="4" s="1"/>
  <c r="AV33" i="4" a="1"/>
  <c r="AV33" i="4" s="1"/>
  <c r="AV40" i="4" a="1"/>
  <c r="AV40" i="4" s="1"/>
  <c r="AV47" i="4" a="1"/>
  <c r="AV47" i="4" s="1"/>
  <c r="AV32" i="4" a="1"/>
  <c r="AV32" i="4" s="1"/>
  <c r="AV38" i="4" a="1"/>
  <c r="AV38" i="4" s="1"/>
  <c r="AV45" i="4" a="1"/>
  <c r="AV45" i="4" s="1"/>
  <c r="AV37" i="4" a="1"/>
  <c r="AV37" i="4" s="1"/>
  <c r="AV44" i="4" a="1"/>
  <c r="AV44" i="4" s="1"/>
  <c r="AV43" i="4" a="1"/>
  <c r="AV43" i="4" s="1"/>
  <c r="AV35" i="4" a="1"/>
  <c r="AV35" i="4" s="1"/>
  <c r="AV42" i="4" a="1"/>
  <c r="AV42" i="4" s="1"/>
  <c r="AV46" i="4" a="1"/>
  <c r="AV46" i="4" s="1"/>
  <c r="AV39" i="4" a="1"/>
  <c r="AV39" i="4" s="1"/>
  <c r="AJ61" i="4"/>
  <c r="AD61" i="4"/>
  <c r="AF61" i="4"/>
  <c r="AH61" i="4"/>
  <c r="Z61" i="4"/>
  <c r="AL61" i="4"/>
  <c r="AP61" i="4"/>
  <c r="AN61" i="4"/>
  <c r="X61" i="4"/>
  <c r="AB61" i="4"/>
  <c r="AF100" i="4"/>
  <c r="AH100" i="4"/>
  <c r="AJ100" i="4"/>
  <c r="AL100" i="4"/>
  <c r="AN100" i="4"/>
  <c r="AP100" i="4"/>
  <c r="Z100" i="4"/>
  <c r="X100" i="4"/>
  <c r="AB100" i="4"/>
  <c r="AD100" i="4"/>
  <c r="AF49" i="4"/>
  <c r="X49" i="4"/>
  <c r="AB49" i="4"/>
  <c r="AJ49" i="4"/>
  <c r="AD49" i="4"/>
  <c r="AH49" i="4"/>
  <c r="AL49" i="4"/>
  <c r="AP49" i="4"/>
  <c r="AN49" i="4"/>
  <c r="Z49" i="4"/>
  <c r="AF47" i="4"/>
  <c r="AH47" i="4"/>
  <c r="AL47" i="4"/>
  <c r="AN47" i="4"/>
  <c r="AP47" i="4"/>
  <c r="Z47" i="4"/>
  <c r="X47" i="4"/>
  <c r="AB47" i="4"/>
  <c r="AJ47" i="4"/>
  <c r="AD47" i="4"/>
  <c r="AT42" i="4" a="1"/>
  <c r="AT42" i="4" s="1"/>
  <c r="AT33" i="4" a="1"/>
  <c r="AT33" i="4" s="1"/>
  <c r="AT40" i="4" a="1"/>
  <c r="AT40" i="4" s="1"/>
  <c r="AT47" i="4" a="1"/>
  <c r="AT47" i="4" s="1"/>
  <c r="AT32" i="4" a="1"/>
  <c r="AT32" i="4" s="1"/>
  <c r="AT39" i="4" a="1"/>
  <c r="AT39" i="4" s="1"/>
  <c r="AT46" i="4" a="1"/>
  <c r="AT46" i="4" s="1"/>
  <c r="AT31" i="4" a="1"/>
  <c r="AT31" i="4" s="1"/>
  <c r="AT37" i="4" a="1"/>
  <c r="AT37" i="4" s="1"/>
  <c r="AT44" i="4" a="1"/>
  <c r="AT44" i="4" s="1"/>
  <c r="AT36" i="4" a="1"/>
  <c r="AT36" i="4" s="1"/>
  <c r="AT43" i="4" a="1"/>
  <c r="AT43" i="4" s="1"/>
  <c r="AT35" i="4" a="1"/>
  <c r="AT35" i="4" s="1"/>
  <c r="AT45" i="4" a="1"/>
  <c r="AT45" i="4" s="1"/>
  <c r="AT34" i="4" a="1"/>
  <c r="AT34" i="4" s="1"/>
  <c r="AT41" i="4" a="1"/>
  <c r="AT41" i="4" s="1"/>
  <c r="AT48" i="4" a="1"/>
  <c r="AT48" i="4" s="1"/>
  <c r="AT38" i="4" a="1"/>
  <c r="AT38" i="4" s="1"/>
  <c r="BG57" i="4" a="1"/>
  <c r="BG57" i="4" s="1"/>
  <c r="Z125" i="4"/>
  <c r="AJ125" i="4"/>
  <c r="X125" i="4"/>
  <c r="AB125" i="4"/>
  <c r="AD125" i="4"/>
  <c r="AF125" i="4"/>
  <c r="AH125" i="4"/>
  <c r="AL125" i="4"/>
  <c r="AN125" i="4"/>
  <c r="AP125" i="4"/>
  <c r="X127" i="4"/>
  <c r="AB127" i="4"/>
  <c r="AD127" i="4"/>
  <c r="AF127" i="4"/>
  <c r="AH127" i="4"/>
  <c r="AL127" i="4"/>
  <c r="AN127" i="4"/>
  <c r="AP127" i="4"/>
  <c r="Z127" i="4"/>
  <c r="AJ127" i="4"/>
  <c r="AD99" i="4"/>
  <c r="Z99" i="4"/>
  <c r="AF99" i="4"/>
  <c r="AJ99" i="4"/>
  <c r="AH99" i="4"/>
  <c r="AL99" i="4"/>
  <c r="AN99" i="4"/>
  <c r="AP99" i="4"/>
  <c r="X99" i="4"/>
  <c r="AB99" i="4"/>
  <c r="AJ113" i="4"/>
  <c r="Z113" i="4"/>
  <c r="X113" i="4"/>
  <c r="AB113" i="4"/>
  <c r="AD113" i="4"/>
  <c r="AF113" i="4"/>
  <c r="AH113" i="4"/>
  <c r="AL113" i="4"/>
  <c r="AN113" i="4"/>
  <c r="AP113" i="4"/>
  <c r="Z58" i="4"/>
  <c r="AN58" i="4"/>
  <c r="AP58" i="4"/>
  <c r="AD58" i="4"/>
  <c r="AF58" i="4"/>
  <c r="AH58" i="4"/>
  <c r="AJ58" i="4"/>
  <c r="AL58" i="4"/>
  <c r="X58" i="4"/>
  <c r="AB58" i="4"/>
  <c r="X121" i="4"/>
  <c r="AB121" i="4"/>
  <c r="AD121" i="4"/>
  <c r="AF121" i="4"/>
  <c r="AJ121" i="4"/>
  <c r="AH121" i="4"/>
  <c r="AL121" i="4"/>
  <c r="AN121" i="4"/>
  <c r="AP121" i="4"/>
  <c r="Z121" i="4"/>
  <c r="X98" i="4"/>
  <c r="Z98" i="4"/>
  <c r="AB98" i="4"/>
  <c r="AD98" i="4"/>
  <c r="AF98" i="4"/>
  <c r="AH98" i="4"/>
  <c r="AJ98" i="4"/>
  <c r="AL98" i="4"/>
  <c r="AN98" i="4"/>
  <c r="AP98" i="4"/>
  <c r="AB78" i="4"/>
  <c r="AH78" i="4"/>
  <c r="X78" i="4"/>
  <c r="AJ78" i="4"/>
  <c r="Z78" i="4"/>
  <c r="AD78" i="4"/>
  <c r="AL78" i="4"/>
  <c r="AF78" i="4"/>
  <c r="AN78" i="4"/>
  <c r="AP78" i="4"/>
  <c r="AD74" i="4"/>
  <c r="AF74" i="4"/>
  <c r="AH74" i="4"/>
  <c r="AJ74" i="4"/>
  <c r="AN74" i="4"/>
  <c r="AP74" i="4"/>
  <c r="X74" i="4"/>
  <c r="AL74" i="4"/>
  <c r="AB74" i="4"/>
  <c r="Z74" i="4"/>
  <c r="X51" i="4"/>
  <c r="AB51" i="4"/>
  <c r="AD51" i="4"/>
  <c r="Z51" i="4"/>
  <c r="AF51" i="4"/>
  <c r="AJ51" i="4"/>
  <c r="AH51" i="4"/>
  <c r="AL51" i="4"/>
  <c r="AN51" i="4"/>
  <c r="AP51" i="4"/>
  <c r="X79" i="4"/>
  <c r="AB79" i="4"/>
  <c r="AJ79" i="4"/>
  <c r="AD79" i="4"/>
  <c r="AF79" i="4"/>
  <c r="AH79" i="4"/>
  <c r="AL79" i="4"/>
  <c r="AN79" i="4"/>
  <c r="AP79" i="4"/>
  <c r="Z79" i="4"/>
  <c r="X105" i="4"/>
  <c r="AB105" i="4"/>
  <c r="AJ105" i="4"/>
  <c r="AD105" i="4"/>
  <c r="AF105" i="4"/>
  <c r="AH105" i="4"/>
  <c r="AL105" i="4"/>
  <c r="AN105" i="4"/>
  <c r="AP105" i="4"/>
  <c r="Z105" i="4"/>
  <c r="Z67" i="4"/>
  <c r="AF67" i="4"/>
  <c r="AH67" i="4"/>
  <c r="AL67" i="4"/>
  <c r="AN67" i="4"/>
  <c r="AP67" i="4"/>
  <c r="X67" i="4"/>
  <c r="AB67" i="4"/>
  <c r="AJ67" i="4"/>
  <c r="AD67" i="4"/>
  <c r="AN62" i="4"/>
  <c r="AP62" i="4"/>
  <c r="X62" i="4"/>
  <c r="AB62" i="4"/>
  <c r="AD62" i="4"/>
  <c r="AF62" i="4"/>
  <c r="AH62" i="4"/>
  <c r="AJ62" i="4"/>
  <c r="Z62" i="4"/>
  <c r="AL62" i="4"/>
  <c r="X91" i="4"/>
  <c r="AB91" i="4"/>
  <c r="AJ91" i="4"/>
  <c r="AD91" i="4"/>
  <c r="AF91" i="4"/>
  <c r="AH91" i="4"/>
  <c r="AL91" i="4"/>
  <c r="AN91" i="4"/>
  <c r="AP91" i="4"/>
  <c r="Z91" i="4"/>
  <c r="AU38" i="4" a="1"/>
  <c r="AU38" i="4" s="1"/>
  <c r="AU43" i="4" a="1"/>
  <c r="AU43" i="4" s="1"/>
  <c r="AU39" i="4" a="1"/>
  <c r="AU39" i="4" s="1"/>
  <c r="AU35" i="4" a="1"/>
  <c r="AU35" i="4" s="1"/>
  <c r="AU32" i="4" a="1"/>
  <c r="AU32" i="4" s="1"/>
  <c r="AU34" i="4" a="1"/>
  <c r="AU34" i="4" s="1"/>
  <c r="AU37" i="4" a="1"/>
  <c r="AU37" i="4" s="1"/>
  <c r="AU42" i="4" a="1"/>
  <c r="AU42" i="4" s="1"/>
  <c r="AU45" i="4" a="1"/>
  <c r="AU45" i="4" s="1"/>
  <c r="AU36" i="4" a="1"/>
  <c r="AU36" i="4" s="1"/>
  <c r="AU41" i="4" a="1"/>
  <c r="AU41" i="4" s="1"/>
  <c r="AU40" i="4" a="1"/>
  <c r="AU40" i="4" s="1"/>
  <c r="AU48" i="4" a="1"/>
  <c r="AU48" i="4" s="1"/>
  <c r="AU46" i="4" a="1"/>
  <c r="AU46" i="4" s="1"/>
  <c r="AU44" i="4" a="1"/>
  <c r="AU44" i="4" s="1"/>
  <c r="AU47" i="4" a="1"/>
  <c r="AU47" i="4" s="1"/>
  <c r="AU33" i="4" a="1"/>
  <c r="AU33" i="4" s="1"/>
  <c r="X109" i="4"/>
  <c r="AB109" i="4"/>
  <c r="AD109" i="4"/>
  <c r="AF109" i="4"/>
  <c r="AJ109" i="4"/>
  <c r="AH109" i="4"/>
  <c r="AL109" i="4"/>
  <c r="AN109" i="4"/>
  <c r="AP109" i="4"/>
  <c r="Z109" i="4"/>
  <c r="AJ77" i="4"/>
  <c r="AH77" i="4"/>
  <c r="AL77" i="4"/>
  <c r="AN77" i="4"/>
  <c r="AP77" i="4"/>
  <c r="Z77" i="4"/>
  <c r="X77" i="4"/>
  <c r="AB77" i="4"/>
  <c r="AD77" i="4"/>
  <c r="AF77" i="4"/>
  <c r="AF56" i="4"/>
  <c r="AH56" i="4"/>
  <c r="AJ56" i="4"/>
  <c r="AL56" i="4"/>
  <c r="AN56" i="4"/>
  <c r="AP56" i="4"/>
  <c r="X56" i="4"/>
  <c r="Z56" i="4"/>
  <c r="AB56" i="4"/>
  <c r="AD56" i="4"/>
  <c r="X73" i="4"/>
  <c r="AB73" i="4"/>
  <c r="AJ73" i="4"/>
  <c r="AD73" i="4"/>
  <c r="AF73" i="4"/>
  <c r="AH73" i="4"/>
  <c r="AL73" i="4"/>
  <c r="AN73" i="4"/>
  <c r="AP73" i="4"/>
  <c r="Z73" i="4"/>
  <c r="X71" i="4"/>
  <c r="AB71" i="4"/>
  <c r="AJ71" i="4"/>
  <c r="AD71" i="4"/>
  <c r="AF71" i="4"/>
  <c r="AH71" i="4"/>
  <c r="AL71" i="4"/>
  <c r="Z71" i="4"/>
  <c r="AN71" i="4"/>
  <c r="AP71" i="4"/>
  <c r="AN89" i="4"/>
  <c r="AP89" i="4"/>
  <c r="Z89" i="4"/>
  <c r="X89" i="4"/>
  <c r="AB89" i="4"/>
  <c r="AD89" i="4"/>
  <c r="AF89" i="4"/>
  <c r="AJ89" i="4"/>
  <c r="AH89" i="4"/>
  <c r="AL89" i="4"/>
  <c r="AB66" i="4"/>
  <c r="AD66" i="4"/>
  <c r="AF66" i="4"/>
  <c r="AH66" i="4"/>
  <c r="AJ66" i="4"/>
  <c r="AL66" i="4"/>
  <c r="AN66" i="4"/>
  <c r="AP66" i="4"/>
  <c r="X66" i="4"/>
  <c r="Z66" i="4"/>
  <c r="AW37" i="4" a="1"/>
  <c r="AW37" i="4" s="1"/>
  <c r="AW44" i="4" a="1"/>
  <c r="AW44" i="4" s="1"/>
  <c r="AW35" i="4" a="1"/>
  <c r="AW35" i="4" s="1"/>
  <c r="AW42" i="4" a="1"/>
  <c r="AW42" i="4" s="1"/>
  <c r="AW40" i="4" a="1"/>
  <c r="AW40" i="4" s="1"/>
  <c r="AW33" i="4" a="1"/>
  <c r="AW33" i="4" s="1"/>
  <c r="AW34" i="4" a="1"/>
  <c r="AW34" i="4" s="1"/>
  <c r="AW48" i="4" a="1"/>
  <c r="AW48" i="4" s="1"/>
  <c r="AW41" i="4" a="1"/>
  <c r="AW41" i="4" s="1"/>
  <c r="AW47" i="4" a="1"/>
  <c r="AW47" i="4" s="1"/>
  <c r="AW32" i="4" a="1"/>
  <c r="AW32" i="4" s="1"/>
  <c r="AW39" i="4" a="1"/>
  <c r="AW39" i="4" s="1"/>
  <c r="AW46" i="4" a="1"/>
  <c r="AW46" i="4" s="1"/>
  <c r="AW31" i="4" a="1"/>
  <c r="AW31" i="4" s="1"/>
  <c r="AW38" i="4" a="1"/>
  <c r="AW38" i="4" s="1"/>
  <c r="AW45" i="4" a="1"/>
  <c r="AW45" i="4" s="1"/>
  <c r="AW36" i="4" a="1"/>
  <c r="AW36" i="4" s="1"/>
  <c r="AW43" i="4" a="1"/>
  <c r="AW43" i="4" s="1"/>
  <c r="AH72" i="4"/>
  <c r="AJ72" i="4"/>
  <c r="AN72" i="4"/>
  <c r="AP72" i="4"/>
  <c r="X72" i="4"/>
  <c r="Z72" i="4"/>
  <c r="AL72" i="4"/>
  <c r="AB72" i="4"/>
  <c r="AD72" i="4"/>
  <c r="AF72" i="4"/>
  <c r="CB35" i="4"/>
  <c r="CB51" i="4"/>
  <c r="CB67" i="4"/>
  <c r="CB83" i="4"/>
  <c r="CB99" i="4"/>
  <c r="CB115" i="4"/>
  <c r="CB131" i="4"/>
  <c r="CB147" i="4"/>
  <c r="CB163" i="4"/>
  <c r="CB36" i="4"/>
  <c r="CB116" i="4"/>
  <c r="CB148" i="4"/>
  <c r="CB52" i="4"/>
  <c r="CB37" i="4"/>
  <c r="CB53" i="4"/>
  <c r="CB69" i="4"/>
  <c r="CB85" i="4"/>
  <c r="CB101" i="4"/>
  <c r="CB117" i="4"/>
  <c r="CB133" i="4"/>
  <c r="CB149" i="4"/>
  <c r="CB165" i="4"/>
  <c r="CB38" i="4"/>
  <c r="CB54" i="4"/>
  <c r="CB70" i="4"/>
  <c r="CB86" i="4"/>
  <c r="CB102" i="4"/>
  <c r="CB118" i="4"/>
  <c r="CB134" i="4"/>
  <c r="CB150" i="4"/>
  <c r="CB166" i="4"/>
  <c r="CB39" i="4"/>
  <c r="CB55" i="4"/>
  <c r="CB71" i="4"/>
  <c r="CB87" i="4"/>
  <c r="CB103" i="4"/>
  <c r="CB119" i="4"/>
  <c r="CB135" i="4"/>
  <c r="CB151" i="4"/>
  <c r="CB167" i="4"/>
  <c r="CB76" i="4"/>
  <c r="CB124" i="4"/>
  <c r="CB156" i="4"/>
  <c r="CB172" i="4"/>
  <c r="CB40" i="4"/>
  <c r="CB56" i="4"/>
  <c r="CB72" i="4"/>
  <c r="CB88" i="4"/>
  <c r="CB104" i="4"/>
  <c r="CB120" i="4"/>
  <c r="CB136" i="4"/>
  <c r="CB152" i="4"/>
  <c r="CB168" i="4"/>
  <c r="CB44" i="4"/>
  <c r="CB140" i="4"/>
  <c r="CB41" i="4"/>
  <c r="CB57" i="4"/>
  <c r="CB73" i="4"/>
  <c r="CB89" i="4"/>
  <c r="CB105" i="4"/>
  <c r="CB121" i="4"/>
  <c r="CB137" i="4"/>
  <c r="CB153" i="4"/>
  <c r="CB169" i="4"/>
  <c r="CB42" i="4"/>
  <c r="CB58" i="4"/>
  <c r="CB74" i="4"/>
  <c r="CB90" i="4"/>
  <c r="CB106" i="4"/>
  <c r="CB122" i="4"/>
  <c r="CB138" i="4"/>
  <c r="CB154" i="4"/>
  <c r="CB170" i="4"/>
  <c r="CB60" i="4"/>
  <c r="CB43" i="4"/>
  <c r="CB59" i="4"/>
  <c r="CB75" i="4"/>
  <c r="CB91" i="4"/>
  <c r="CB107" i="4"/>
  <c r="CB123" i="4"/>
  <c r="CB139" i="4"/>
  <c r="CB155" i="4"/>
  <c r="CB171" i="4"/>
  <c r="CB92" i="4"/>
  <c r="CB108" i="4"/>
  <c r="CB45" i="4"/>
  <c r="CB61" i="4"/>
  <c r="CB77" i="4"/>
  <c r="CB93" i="4"/>
  <c r="CB109" i="4"/>
  <c r="CB125" i="4"/>
  <c r="CB141" i="4"/>
  <c r="CB157" i="4"/>
  <c r="CB30" i="4"/>
  <c r="CB46" i="4"/>
  <c r="CB62" i="4"/>
  <c r="CB78" i="4"/>
  <c r="CB94" i="4"/>
  <c r="CB110" i="4"/>
  <c r="CB126" i="4"/>
  <c r="CB142" i="4"/>
  <c r="CB158" i="4"/>
  <c r="CB31" i="4"/>
  <c r="CB63" i="4"/>
  <c r="CB79" i="4"/>
  <c r="CB95" i="4"/>
  <c r="CB111" i="4"/>
  <c r="CB127" i="4"/>
  <c r="CB143" i="4"/>
  <c r="CB159" i="4"/>
  <c r="CB47" i="4"/>
  <c r="CB32" i="4"/>
  <c r="CB48" i="4"/>
  <c r="CB64" i="4"/>
  <c r="CB80" i="4"/>
  <c r="CB96" i="4"/>
  <c r="CB112" i="4"/>
  <c r="CB128" i="4"/>
  <c r="CB144" i="4"/>
  <c r="CB160" i="4"/>
  <c r="CB33" i="4"/>
  <c r="CB49" i="4"/>
  <c r="CB65" i="4"/>
  <c r="CB81" i="4"/>
  <c r="CB97" i="4"/>
  <c r="CB113" i="4"/>
  <c r="CB129" i="4"/>
  <c r="CB145" i="4"/>
  <c r="CB161" i="4"/>
  <c r="CB34" i="4"/>
  <c r="CB50" i="4"/>
  <c r="CB66" i="4"/>
  <c r="CB82" i="4"/>
  <c r="CB98" i="4"/>
  <c r="CB114" i="4"/>
  <c r="CB130" i="4"/>
  <c r="CB146" i="4"/>
  <c r="CB162" i="4"/>
  <c r="CB68" i="4"/>
  <c r="CB84" i="4"/>
  <c r="CB100" i="4"/>
  <c r="CB132" i="4"/>
  <c r="CB164" i="4"/>
  <c r="X46" i="4"/>
  <c r="AB46" i="4"/>
  <c r="AD46" i="4"/>
  <c r="AF46" i="4"/>
  <c r="AH46" i="4"/>
  <c r="AJ46" i="4"/>
  <c r="Z46" i="4"/>
  <c r="AL46" i="4"/>
  <c r="AN46" i="4"/>
  <c r="AO25" i="4" s="1" a="1"/>
  <c r="AP46" i="4"/>
  <c r="AB114" i="4"/>
  <c r="AD114" i="4"/>
  <c r="AF114" i="4"/>
  <c r="AH114" i="4"/>
  <c r="AJ114" i="4"/>
  <c r="AL114" i="4"/>
  <c r="AN114" i="4"/>
  <c r="AP114" i="4"/>
  <c r="X114" i="4"/>
  <c r="Z114" i="4"/>
  <c r="AJ88" i="4"/>
  <c r="AL88" i="4"/>
  <c r="AN88" i="4"/>
  <c r="AP88" i="4"/>
  <c r="X88" i="4"/>
  <c r="Z88" i="4"/>
  <c r="AB88" i="4"/>
  <c r="AD88" i="4"/>
  <c r="AF88" i="4"/>
  <c r="AH88" i="4"/>
  <c r="AD94" i="4"/>
  <c r="AH94" i="4"/>
  <c r="AL94" i="4"/>
  <c r="X94" i="4"/>
  <c r="AB94" i="4"/>
  <c r="AF94" i="4"/>
  <c r="AN94" i="4"/>
  <c r="AP94" i="4"/>
  <c r="AJ94" i="4"/>
  <c r="Z94" i="4"/>
  <c r="X68" i="4"/>
  <c r="Z68" i="4"/>
  <c r="AL68" i="4"/>
  <c r="AB68" i="4"/>
  <c r="AD68" i="4"/>
  <c r="AF68" i="4"/>
  <c r="AH68" i="4"/>
  <c r="AJ68" i="4"/>
  <c r="AN68" i="4"/>
  <c r="AP68" i="4"/>
  <c r="AX45" i="4" a="1"/>
  <c r="AX45" i="4" s="1"/>
  <c r="AX44" i="4" a="1"/>
  <c r="AX44" i="4" s="1"/>
  <c r="AX43" i="4" a="1"/>
  <c r="AX43" i="4" s="1"/>
  <c r="AX41" i="4" a="1"/>
  <c r="AX41" i="4" s="1"/>
  <c r="AX42" i="4" a="1"/>
  <c r="AX42" i="4" s="1"/>
  <c r="AX35" i="4" a="1"/>
  <c r="AX35" i="4" s="1"/>
  <c r="AX34" i="4" a="1"/>
  <c r="AX34" i="4" s="1"/>
  <c r="AX48" i="4" a="1"/>
  <c r="AX48" i="4" s="1"/>
  <c r="AX46" i="4" a="1"/>
  <c r="AX46" i="4" s="1"/>
  <c r="AX39" i="4" a="1"/>
  <c r="AX39" i="4" s="1"/>
  <c r="AX38" i="4" a="1"/>
  <c r="AX38" i="4" s="1"/>
  <c r="AX40" i="4" a="1"/>
  <c r="AX40" i="4" s="1"/>
  <c r="AX37" i="4" a="1"/>
  <c r="AX37" i="4" s="1"/>
  <c r="AX36" i="4" a="1"/>
  <c r="AX36" i="4" s="1"/>
  <c r="AX47" i="4" a="1"/>
  <c r="AX47" i="4" s="1"/>
  <c r="X116" i="4"/>
  <c r="Z116" i="4"/>
  <c r="AB116" i="4"/>
  <c r="AD116" i="4"/>
  <c r="AF116" i="4"/>
  <c r="AH116" i="4"/>
  <c r="AJ116" i="4"/>
  <c r="AL116" i="4"/>
  <c r="AN116" i="4"/>
  <c r="AP116" i="4"/>
  <c r="AD118" i="4"/>
  <c r="AF118" i="4"/>
  <c r="AH118" i="4"/>
  <c r="AJ118" i="4"/>
  <c r="AL118" i="4"/>
  <c r="AN118" i="4"/>
  <c r="AP118" i="4"/>
  <c r="Z118" i="4"/>
  <c r="X118" i="4"/>
  <c r="AB118" i="4"/>
  <c r="AD83" i="4"/>
  <c r="Z83" i="4"/>
  <c r="AF83" i="4"/>
  <c r="AH83" i="4"/>
  <c r="AJ83" i="4"/>
  <c r="AL83" i="4"/>
  <c r="AN83" i="4"/>
  <c r="AP83" i="4"/>
  <c r="X83" i="4"/>
  <c r="AB83" i="4"/>
  <c r="X93" i="4"/>
  <c r="AB93" i="4"/>
  <c r="AD93" i="4"/>
  <c r="AF93" i="4"/>
  <c r="AJ93" i="4"/>
  <c r="AH93" i="4"/>
  <c r="AL93" i="4"/>
  <c r="AN93" i="4"/>
  <c r="AP93" i="4"/>
  <c r="Z93" i="4"/>
  <c r="X69" i="4"/>
  <c r="AB69" i="4"/>
  <c r="AD69" i="4"/>
  <c r="AF69" i="4"/>
  <c r="AJ69" i="4"/>
  <c r="AH69" i="4"/>
  <c r="Z69" i="4"/>
  <c r="AL69" i="4"/>
  <c r="AN69" i="4"/>
  <c r="AP69" i="4"/>
  <c r="AY48" i="4" a="1"/>
  <c r="AY48" i="4" s="1"/>
  <c r="AY36" i="4" a="1"/>
  <c r="AY36" i="4" s="1"/>
  <c r="AY42" i="4" a="1"/>
  <c r="AY42" i="4" s="1"/>
  <c r="AY43" i="4" a="1"/>
  <c r="AY43" i="4" s="1"/>
  <c r="AY34" i="4" a="1"/>
  <c r="AY34" i="4" s="1"/>
  <c r="AY35" i="4" a="1"/>
  <c r="AY35" i="4" s="1"/>
  <c r="AY40" i="4" a="1"/>
  <c r="AY40" i="4" s="1"/>
  <c r="AY47" i="4" a="1"/>
  <c r="AY47" i="4" s="1"/>
  <c r="AY46" i="4" a="1"/>
  <c r="AY46" i="4" s="1"/>
  <c r="AY38" i="4" a="1"/>
  <c r="AY38" i="4" s="1"/>
  <c r="AY39" i="4" a="1"/>
  <c r="AY39" i="4" s="1"/>
  <c r="AY45" i="4" a="1"/>
  <c r="AY45" i="4" s="1"/>
  <c r="AY41" i="4" a="1"/>
  <c r="AY41" i="4" s="1"/>
  <c r="AY37" i="4" a="1"/>
  <c r="AY37" i="4" s="1"/>
  <c r="AY44" i="4" a="1"/>
  <c r="AY44" i="4" s="1"/>
  <c r="X107" i="4"/>
  <c r="AB107" i="4"/>
  <c r="AJ107" i="4"/>
  <c r="AD107" i="4"/>
  <c r="AF107" i="4"/>
  <c r="AH107" i="4"/>
  <c r="AL107" i="4"/>
  <c r="AN107" i="4"/>
  <c r="AP107" i="4"/>
  <c r="Z107" i="4"/>
  <c r="X75" i="4"/>
  <c r="AB75" i="4"/>
  <c r="AJ75" i="4"/>
  <c r="AD75" i="4"/>
  <c r="AF75" i="4"/>
  <c r="AL75" i="4"/>
  <c r="AN75" i="4"/>
  <c r="AH75" i="4"/>
  <c r="AP75" i="4"/>
  <c r="Z75" i="4"/>
  <c r="Z70" i="4"/>
  <c r="AP70" i="4"/>
  <c r="X70" i="4"/>
  <c r="AB70" i="4"/>
  <c r="AD70" i="4"/>
  <c r="AL70" i="4"/>
  <c r="AF70" i="4"/>
  <c r="AH70" i="4"/>
  <c r="AJ70" i="4"/>
  <c r="AN70" i="4"/>
  <c r="AP59" i="4"/>
  <c r="X59" i="4"/>
  <c r="Z59" i="4"/>
  <c r="AH59" i="4"/>
  <c r="AD59" i="4"/>
  <c r="AF59" i="4"/>
  <c r="AB59" i="4"/>
  <c r="AJ59" i="4"/>
  <c r="AL59" i="4"/>
  <c r="AN59" i="4"/>
  <c r="AJ101" i="4"/>
  <c r="AD101" i="4"/>
  <c r="AF101" i="4"/>
  <c r="AH101" i="4"/>
  <c r="Z101" i="4"/>
  <c r="AL101" i="4"/>
  <c r="AN101" i="4"/>
  <c r="AP101" i="4"/>
  <c r="X101" i="4"/>
  <c r="AB101" i="4"/>
  <c r="X92" i="4"/>
  <c r="AB92" i="4"/>
  <c r="AD92" i="4"/>
  <c r="AF92" i="4"/>
  <c r="Z92" i="4"/>
  <c r="AH92" i="4"/>
  <c r="AJ92" i="4"/>
  <c r="AL92" i="4"/>
  <c r="AN92" i="4"/>
  <c r="AP92" i="4"/>
  <c r="AP111" i="4"/>
  <c r="Z111" i="4"/>
  <c r="AB111" i="4"/>
  <c r="X111" i="4"/>
  <c r="AJ111" i="4"/>
  <c r="AD111" i="4"/>
  <c r="AH111" i="4"/>
  <c r="AF111" i="4"/>
  <c r="AL111" i="4"/>
  <c r="AN111" i="4"/>
  <c r="AJ126" i="4"/>
  <c r="AL126" i="4"/>
  <c r="Z126" i="4"/>
  <c r="AN126" i="4"/>
  <c r="AP126" i="4"/>
  <c r="X126" i="4"/>
  <c r="AB126" i="4"/>
  <c r="AD126" i="4"/>
  <c r="AF126" i="4"/>
  <c r="AH126" i="4"/>
  <c r="X81" i="4"/>
  <c r="AB81" i="4"/>
  <c r="AJ81" i="4"/>
  <c r="AD81" i="4"/>
  <c r="AF81" i="4"/>
  <c r="AH81" i="4"/>
  <c r="AL81" i="4"/>
  <c r="AN81" i="4"/>
  <c r="AP81" i="4"/>
  <c r="Z81" i="4"/>
  <c r="AM25" i="4" l="1" a="1"/>
  <c r="AM25" i="4" s="1"/>
  <c r="BA30" i="4" s="1" a="1"/>
  <c r="BA30" i="4" s="1"/>
  <c r="AE25" i="4" a="1"/>
  <c r="BJ36" i="4" s="1" a="1"/>
  <c r="BJ36" i="4" s="1"/>
  <c r="AK25" i="4" a="1"/>
  <c r="AG25" i="4" a="1"/>
  <c r="AC25" i="4" a="1"/>
  <c r="Y25" i="4" a="1"/>
  <c r="Y25" i="4" s="1"/>
  <c r="AT30" i="4" s="1" a="1"/>
  <c r="AT30" i="4" s="1"/>
  <c r="AI25" i="4" a="1"/>
  <c r="AI25" i="4" s="1"/>
  <c r="AY30" i="4" s="1" a="1"/>
  <c r="AY30" i="4" s="1"/>
  <c r="AA25" i="4" a="1"/>
  <c r="BH46" i="4" s="1" a="1"/>
  <c r="BH46" i="4" s="1"/>
  <c r="AQ25" i="4" a="1"/>
  <c r="AQ25" i="4" s="1"/>
  <c r="BC30" i="4" s="1" a="1"/>
  <c r="BC30" i="4" s="1"/>
  <c r="BA31" i="4" a="1"/>
  <c r="BA31" i="4" s="1"/>
  <c r="BA45" i="4" a="1"/>
  <c r="BA45" i="4" s="1"/>
  <c r="BA37" i="4" a="1"/>
  <c r="BA37" i="4" s="1"/>
  <c r="BA38" i="4" a="1"/>
  <c r="BA38" i="4" s="1"/>
  <c r="BA44" i="4" a="1"/>
  <c r="BA44" i="4" s="1"/>
  <c r="BA43" i="4" a="1"/>
  <c r="BA43" i="4" s="1"/>
  <c r="BA36" i="4" a="1"/>
  <c r="BA36" i="4" s="1"/>
  <c r="BA35" i="4" a="1"/>
  <c r="BA35" i="4" s="1"/>
  <c r="BA41" i="4" a="1"/>
  <c r="BA41" i="4" s="1"/>
  <c r="BA48" i="4" a="1"/>
  <c r="BA48" i="4" s="1"/>
  <c r="BA34" i="4" a="1"/>
  <c r="BA34" i="4" s="1"/>
  <c r="BA32" i="4" a="1"/>
  <c r="BA32" i="4" s="1"/>
  <c r="BA33" i="4" a="1"/>
  <c r="BA33" i="4" s="1"/>
  <c r="BA40" i="4" a="1"/>
  <c r="BA40" i="4" s="1"/>
  <c r="BA47" i="4" a="1"/>
  <c r="BA47" i="4" s="1"/>
  <c r="BA39" i="4" a="1"/>
  <c r="BA39" i="4" s="1"/>
  <c r="BA46" i="4" a="1"/>
  <c r="BA46" i="4" s="1"/>
  <c r="BA42" i="4" a="1"/>
  <c r="BA42" i="4" s="1"/>
  <c r="BJ32" i="4" a="1"/>
  <c r="BJ32" i="4" s="1"/>
  <c r="BJ44" i="4" a="1"/>
  <c r="BJ44" i="4" s="1"/>
  <c r="BJ31" i="4" a="1"/>
  <c r="BJ31" i="4" s="1"/>
  <c r="BJ33" i="4" a="1"/>
  <c r="BJ33" i="4" s="1"/>
  <c r="BJ38" i="4" a="1"/>
  <c r="BJ38" i="4" s="1"/>
  <c r="BJ43" i="4" a="1"/>
  <c r="BJ43" i="4" s="1"/>
  <c r="BJ48" i="4" a="1"/>
  <c r="BJ48" i="4" s="1"/>
  <c r="BJ40" i="4" a="1"/>
  <c r="BJ40" i="4" s="1"/>
  <c r="BJ47" i="4" a="1"/>
  <c r="BJ47" i="4" s="1"/>
  <c r="BJ34" i="4" a="1"/>
  <c r="BJ34" i="4" s="1"/>
  <c r="BJ39" i="4" a="1"/>
  <c r="BJ39" i="4" s="1"/>
  <c r="BJ45" i="4" a="1"/>
  <c r="BJ45" i="4" s="1"/>
  <c r="AK25" i="4"/>
  <c r="BN30" i="4" a="1"/>
  <c r="BN30" i="4" s="1"/>
  <c r="BM32" i="4" a="1"/>
  <c r="BM32" i="4" s="1"/>
  <c r="BK34" i="4" a="1"/>
  <c r="BK34" i="4" s="1"/>
  <c r="BN40" i="4" a="1"/>
  <c r="BN40" i="4" s="1"/>
  <c r="BL42" i="4" a="1"/>
  <c r="BL42" i="4" s="1"/>
  <c r="BN45" i="4" a="1"/>
  <c r="BN45" i="4" s="1"/>
  <c r="BK39" i="4" a="1"/>
  <c r="BK39" i="4" s="1"/>
  <c r="BK29" i="4" a="1"/>
  <c r="BK29" i="4" s="1"/>
  <c r="BN32" i="4" a="1"/>
  <c r="BN32" i="4" s="1"/>
  <c r="BL34" i="4" a="1"/>
  <c r="BL34" i="4" s="1"/>
  <c r="BN37" i="4" a="1"/>
  <c r="BN37" i="4" s="1"/>
  <c r="BM42" i="4" a="1"/>
  <c r="BM42" i="4" s="1"/>
  <c r="BL29" i="4" a="1"/>
  <c r="BL29" i="4" s="1"/>
  <c r="BL39" i="4" a="1"/>
  <c r="BL39" i="4" s="1"/>
  <c r="BM34" i="4" a="1"/>
  <c r="BM34" i="4" s="1"/>
  <c r="BK36" i="4" a="1"/>
  <c r="BK36" i="4" s="1"/>
  <c r="BM39" i="4" a="1"/>
  <c r="BM39" i="4" s="1"/>
  <c r="BL38" i="4" a="1"/>
  <c r="BL38" i="4" s="1"/>
  <c r="BM46" i="4" a="1"/>
  <c r="BM46" i="4" s="1"/>
  <c r="BM29" i="4" a="1"/>
  <c r="BM29" i="4" s="1"/>
  <c r="BK31" i="4" a="1"/>
  <c r="BK31" i="4" s="1"/>
  <c r="BN34" i="4" a="1"/>
  <c r="BN34" i="4" s="1"/>
  <c r="BL36" i="4" a="1"/>
  <c r="BL36" i="4" s="1"/>
  <c r="BK41" i="4" a="1"/>
  <c r="BK41" i="4" s="1"/>
  <c r="BM44" i="4" a="1"/>
  <c r="BM44" i="4" s="1"/>
  <c r="BK46" i="4" a="1"/>
  <c r="BK46" i="4" s="1"/>
  <c r="BN36" i="4" a="1"/>
  <c r="BN36" i="4" s="1"/>
  <c r="BN41" i="4" a="1"/>
  <c r="BN41" i="4" s="1"/>
  <c r="BN29" i="4" a="1"/>
  <c r="BN29" i="4" s="1"/>
  <c r="BN39" i="4" a="1"/>
  <c r="BN39" i="4" s="1"/>
  <c r="BL41" i="4" a="1"/>
  <c r="BL41" i="4" s="1"/>
  <c r="BL31" i="4" a="1"/>
  <c r="BL31" i="4" s="1"/>
  <c r="BK33" i="4" a="1"/>
  <c r="BK33" i="4" s="1"/>
  <c r="BM36" i="4" a="1"/>
  <c r="BM36" i="4" s="1"/>
  <c r="BK38" i="4" a="1"/>
  <c r="BK38" i="4" s="1"/>
  <c r="BN44" i="4" a="1"/>
  <c r="BN44" i="4" s="1"/>
  <c r="BL46" i="4" a="1"/>
  <c r="BL46" i="4" s="1"/>
  <c r="BM31" i="4" a="1"/>
  <c r="BM31" i="4" s="1"/>
  <c r="BL33" i="4" a="1"/>
  <c r="BL33" i="4" s="1"/>
  <c r="BM41" i="4" a="1"/>
  <c r="BM41" i="4" s="1"/>
  <c r="BK43" i="4" a="1"/>
  <c r="BK43" i="4" s="1"/>
  <c r="BK48" i="4" a="1"/>
  <c r="BK48" i="4" s="1"/>
  <c r="BL48" i="4" a="1"/>
  <c r="BL48" i="4" s="1"/>
  <c r="BK30" i="4" a="1"/>
  <c r="BK30" i="4" s="1"/>
  <c r="BN33" i="4" a="1"/>
  <c r="BN33" i="4" s="1"/>
  <c r="BM38" i="4" a="1"/>
  <c r="BM38" i="4" s="1"/>
  <c r="BK40" i="4" a="1"/>
  <c r="BK40" i="4" s="1"/>
  <c r="BM43" i="4" a="1"/>
  <c r="BM43" i="4" s="1"/>
  <c r="BM48" i="4" a="1"/>
  <c r="BM48" i="4" s="1"/>
  <c r="BL35" i="4" a="1"/>
  <c r="BL35" i="4" s="1"/>
  <c r="BN38" i="4" a="1"/>
  <c r="BN38" i="4" s="1"/>
  <c r="BL40" i="4" a="1"/>
  <c r="BL40" i="4" s="1"/>
  <c r="BK45" i="4" a="1"/>
  <c r="BK45" i="4" s="1"/>
  <c r="BL30" i="4" a="1"/>
  <c r="BL30" i="4" s="1"/>
  <c r="BK32" i="4" a="1"/>
  <c r="BK32" i="4" s="1"/>
  <c r="BM35" i="4" a="1"/>
  <c r="BM35" i="4" s="1"/>
  <c r="BN43" i="4" a="1"/>
  <c r="BN43" i="4" s="1"/>
  <c r="BL45" i="4" a="1"/>
  <c r="BL45" i="4" s="1"/>
  <c r="BN48" i="4" a="1"/>
  <c r="BN48" i="4" s="1"/>
  <c r="BL32" i="4" a="1"/>
  <c r="BL32" i="4" s="1"/>
  <c r="BK37" i="4" a="1"/>
  <c r="BK37" i="4" s="1"/>
  <c r="BM40" i="4" a="1"/>
  <c r="BM40" i="4" s="1"/>
  <c r="BK42" i="4" a="1"/>
  <c r="BK42" i="4" s="1"/>
  <c r="BM30" i="4" a="1"/>
  <c r="BM30" i="4" s="1"/>
  <c r="BN35" i="4" a="1"/>
  <c r="BN35" i="4" s="1"/>
  <c r="BL37" i="4" a="1"/>
  <c r="BL37" i="4" s="1"/>
  <c r="BM45" i="4" a="1"/>
  <c r="BM45" i="4" s="1"/>
  <c r="BK47" i="4" a="1"/>
  <c r="BK47" i="4" s="1"/>
  <c r="BM37" i="4" a="1"/>
  <c r="BM37" i="4" s="1"/>
  <c r="BL47" i="4" a="1"/>
  <c r="BL47" i="4" s="1"/>
  <c r="BM33" i="4" a="1"/>
  <c r="BM33" i="4" s="1"/>
  <c r="BM47" i="4" a="1"/>
  <c r="BM47" i="4" s="1"/>
  <c r="BN47" i="4" a="1"/>
  <c r="BN47" i="4" s="1"/>
  <c r="BK35" i="4" a="1"/>
  <c r="BK35" i="4" s="1"/>
  <c r="BN42" i="4" a="1"/>
  <c r="BN42" i="4" s="1"/>
  <c r="BN46" i="4" a="1"/>
  <c r="BN46" i="4" s="1"/>
  <c r="BL43" i="4" a="1"/>
  <c r="BL43" i="4" s="1"/>
  <c r="BN31" i="4" a="1"/>
  <c r="BN31" i="4" s="1"/>
  <c r="BK44" i="4" a="1"/>
  <c r="BK44" i="4" s="1"/>
  <c r="BL44" i="4" a="1"/>
  <c r="BL44" i="4" s="1"/>
  <c r="AZ43" i="4" a="1"/>
  <c r="AZ43" i="4" s="1"/>
  <c r="AZ35" i="4" a="1"/>
  <c r="AZ35" i="4" s="1"/>
  <c r="AZ42" i="4" a="1"/>
  <c r="AZ42" i="4" s="1"/>
  <c r="AZ41" i="4" a="1"/>
  <c r="AZ41" i="4" s="1"/>
  <c r="AZ33" i="4" a="1"/>
  <c r="AZ33" i="4" s="1"/>
  <c r="AZ48" i="4" a="1"/>
  <c r="AZ48" i="4" s="1"/>
  <c r="AZ47" i="4" a="1"/>
  <c r="AZ47" i="4" s="1"/>
  <c r="AZ40" i="4" a="1"/>
  <c r="AZ40" i="4" s="1"/>
  <c r="AZ46" i="4" a="1"/>
  <c r="AZ46" i="4" s="1"/>
  <c r="AZ38" i="4" a="1"/>
  <c r="AZ38" i="4" s="1"/>
  <c r="AZ32" i="4" a="1"/>
  <c r="AZ32" i="4" s="1"/>
  <c r="AZ45" i="4" a="1"/>
  <c r="AZ45" i="4" s="1"/>
  <c r="AZ39" i="4" a="1"/>
  <c r="AZ39" i="4" s="1"/>
  <c r="AZ34" i="4" a="1"/>
  <c r="AZ34" i="4" s="1"/>
  <c r="AZ37" i="4" a="1"/>
  <c r="AZ37" i="4" s="1"/>
  <c r="AZ31" i="4" a="1"/>
  <c r="AZ31" i="4" s="1"/>
  <c r="AZ44" i="4" a="1"/>
  <c r="AZ44" i="4" s="1"/>
  <c r="AZ36" i="4" a="1"/>
  <c r="AZ36" i="4" s="1"/>
  <c r="AG25" i="4"/>
  <c r="AX30" i="4" s="1" a="1"/>
  <c r="AX30" i="4" s="1"/>
  <c r="AX31" i="4" a="1"/>
  <c r="AX31" i="4" s="1"/>
  <c r="AX33" i="4" a="1"/>
  <c r="AX33" i="4" s="1"/>
  <c r="AX32" i="4" a="1"/>
  <c r="AX32" i="4" s="1"/>
  <c r="AC25" i="4"/>
  <c r="BI36" i="4" a="1"/>
  <c r="BI36" i="4" s="1"/>
  <c r="BI31" i="4" a="1"/>
  <c r="BI31" i="4" s="1"/>
  <c r="BI33" i="4" a="1"/>
  <c r="BI33" i="4" s="1"/>
  <c r="BI38" i="4" a="1"/>
  <c r="BI38" i="4" s="1"/>
  <c r="BI43" i="4" a="1"/>
  <c r="BI43" i="4" s="1"/>
  <c r="BI48" i="4" a="1"/>
  <c r="BI48" i="4" s="1"/>
  <c r="BI35" i="4" a="1"/>
  <c r="BI35" i="4" s="1"/>
  <c r="BI30" i="4" a="1"/>
  <c r="BI30" i="4" s="1"/>
  <c r="BI40" i="4" a="1"/>
  <c r="BI40" i="4" s="1"/>
  <c r="BI45" i="4" a="1"/>
  <c r="BI45" i="4" s="1"/>
  <c r="BI42" i="4" a="1"/>
  <c r="BI42" i="4" s="1"/>
  <c r="BI32" i="4" a="1"/>
  <c r="BI32" i="4" s="1"/>
  <c r="BI47" i="4" a="1"/>
  <c r="BI47" i="4" s="1"/>
  <c r="BI34" i="4" a="1"/>
  <c r="BI34" i="4" s="1"/>
  <c r="BI29" i="4" a="1"/>
  <c r="BI29" i="4" s="1"/>
  <c r="BI39" i="4" a="1"/>
  <c r="BI39" i="4" s="1"/>
  <c r="BI44" i="4" a="1"/>
  <c r="BI44" i="4" s="1"/>
  <c r="BI41" i="4" a="1"/>
  <c r="BI41" i="4" s="1"/>
  <c r="BI46" i="4" a="1"/>
  <c r="BI46" i="4" s="1"/>
  <c r="BI37" i="4" a="1"/>
  <c r="BI37" i="4" s="1"/>
  <c r="AV31" i="4" a="1"/>
  <c r="AV31" i="4" s="1"/>
  <c r="AY33" i="4" a="1"/>
  <c r="AY33" i="4" s="1"/>
  <c r="AY32" i="4" a="1"/>
  <c r="AY32" i="4" s="1"/>
  <c r="AY31" i="4" a="1"/>
  <c r="AY31" i="4" s="1"/>
  <c r="BC33" i="4" a="1"/>
  <c r="BC33" i="4" s="1"/>
  <c r="BC47" i="4" a="1"/>
  <c r="BC47" i="4" s="1"/>
  <c r="BC41" i="4" a="1"/>
  <c r="BC41" i="4" s="1"/>
  <c r="BC36" i="4" a="1"/>
  <c r="BC36" i="4" s="1"/>
  <c r="BC38" i="4" a="1"/>
  <c r="BC38" i="4" s="1"/>
  <c r="BC46" i="4" a="1"/>
  <c r="BC46" i="4" s="1"/>
  <c r="BC48" i="4" a="1"/>
  <c r="BC48" i="4" s="1"/>
  <c r="BC39" i="4" a="1"/>
  <c r="BC39" i="4" s="1"/>
  <c r="BC32" i="4" a="1"/>
  <c r="BC32" i="4" s="1"/>
  <c r="BC31" i="4" a="1"/>
  <c r="BC31" i="4" s="1"/>
  <c r="BC45" i="4" a="1"/>
  <c r="BC45" i="4" s="1"/>
  <c r="BC37" i="4" a="1"/>
  <c r="BC37" i="4" s="1"/>
  <c r="BC44" i="4" a="1"/>
  <c r="BC44" i="4" s="1"/>
  <c r="BC35" i="4" a="1"/>
  <c r="BC35" i="4" s="1"/>
  <c r="BC43" i="4" a="1"/>
  <c r="BC43" i="4" s="1"/>
  <c r="BC42" i="4" a="1"/>
  <c r="BC42" i="4" s="1"/>
  <c r="BC34" i="4" a="1"/>
  <c r="BC34" i="4" s="1"/>
  <c r="BC40" i="4" a="1"/>
  <c r="BC40" i="4" s="1"/>
  <c r="AA25" i="4"/>
  <c r="BH30" i="4" a="1"/>
  <c r="BH30" i="4" s="1"/>
  <c r="BH44" i="4" a="1"/>
  <c r="BH44" i="4" s="1"/>
  <c r="BH32" i="4" a="1"/>
  <c r="BH32" i="4" s="1"/>
  <c r="BH36" i="4" a="1"/>
  <c r="BH36" i="4" s="1"/>
  <c r="BH38" i="4" a="1"/>
  <c r="BH38" i="4" s="1"/>
  <c r="BH33" i="4" a="1"/>
  <c r="BH33" i="4" s="1"/>
  <c r="BH37" i="4" a="1"/>
  <c r="BH37" i="4" s="1"/>
  <c r="BH47" i="4" a="1"/>
  <c r="BH47" i="4" s="1"/>
  <c r="BH48" i="4" a="1"/>
  <c r="BH48" i="4" s="1"/>
  <c r="BH39" i="4" a="1"/>
  <c r="BH39" i="4" s="1"/>
  <c r="BH40" i="4" a="1"/>
  <c r="BH40" i="4" s="1"/>
  <c r="BH41" i="4" a="1"/>
  <c r="BH41" i="4" s="1"/>
  <c r="BH29" i="4" a="1"/>
  <c r="BH29" i="4" s="1"/>
  <c r="BH42" i="4" a="1"/>
  <c r="BH42" i="4" s="1"/>
  <c r="BH43" i="4" a="1"/>
  <c r="BH43" i="4" s="1"/>
  <c r="BH34" i="4" a="1"/>
  <c r="BH34" i="4" s="1"/>
  <c r="BH31" i="4" a="1"/>
  <c r="BH31" i="4" s="1"/>
  <c r="BH35" i="4" a="1"/>
  <c r="BH35" i="4" s="1"/>
  <c r="BH45" i="4" a="1"/>
  <c r="BH45" i="4" s="1"/>
  <c r="AU31" i="4" a="1"/>
  <c r="AU31" i="4" s="1"/>
  <c r="AO25" i="4"/>
  <c r="BB30" i="4" s="1" a="1"/>
  <c r="BB30" i="4" s="1"/>
  <c r="BB48" i="4" a="1"/>
  <c r="BB48" i="4" s="1"/>
  <c r="BB41" i="4" a="1"/>
  <c r="BB41" i="4" s="1"/>
  <c r="BB33" i="4" a="1"/>
  <c r="BB33" i="4" s="1"/>
  <c r="BB47" i="4" a="1"/>
  <c r="BB47" i="4" s="1"/>
  <c r="BB40" i="4" a="1"/>
  <c r="BB40" i="4" s="1"/>
  <c r="BB32" i="4" a="1"/>
  <c r="BB32" i="4" s="1"/>
  <c r="BB39" i="4" a="1"/>
  <c r="BB39" i="4" s="1"/>
  <c r="BB38" i="4" a="1"/>
  <c r="BB38" i="4" s="1"/>
  <c r="BB46" i="4" a="1"/>
  <c r="BB46" i="4" s="1"/>
  <c r="BB45" i="4" a="1"/>
  <c r="BB45" i="4" s="1"/>
  <c r="BB31" i="4" a="1"/>
  <c r="BB31" i="4" s="1"/>
  <c r="BB37" i="4" a="1"/>
  <c r="BB37" i="4" s="1"/>
  <c r="BB44" i="4" a="1"/>
  <c r="BB44" i="4" s="1"/>
  <c r="BB43" i="4" a="1"/>
  <c r="BB43" i="4" s="1"/>
  <c r="BB36" i="4" a="1"/>
  <c r="BB36" i="4" s="1"/>
  <c r="BB42" i="4" a="1"/>
  <c r="BB42" i="4" s="1"/>
  <c r="BB34" i="4" a="1"/>
  <c r="BB34" i="4" s="1"/>
  <c r="BB35" i="4" a="1"/>
  <c r="BB35" i="4" s="1"/>
  <c r="BI53" i="4"/>
  <c r="BJ53" i="4"/>
  <c r="BK53" i="4"/>
  <c r="BL53" i="4"/>
  <c r="BM53" i="4"/>
  <c r="BN53" i="4"/>
  <c r="BH53" i="4"/>
  <c r="BJ29" i="4" l="1" a="1"/>
  <c r="BJ29" i="4" s="1"/>
  <c r="AE25" i="4"/>
  <c r="BJ42" i="4" a="1"/>
  <c r="BJ42" i="4" s="1"/>
  <c r="BJ37" i="4" a="1"/>
  <c r="BJ37" i="4" s="1"/>
  <c r="BJ35" i="4" a="1"/>
  <c r="BJ35" i="4" s="1"/>
  <c r="BJ46" i="4" a="1"/>
  <c r="BJ46" i="4" s="1"/>
  <c r="BJ41" i="4" a="1"/>
  <c r="BJ41" i="4" s="1"/>
  <c r="BJ30" i="4" a="1"/>
  <c r="BJ30" i="4" s="1"/>
  <c r="BL28" i="4" a="1"/>
  <c r="BL28" i="4" s="1"/>
  <c r="BK28" i="4" a="1"/>
  <c r="BK28" i="4" s="1"/>
  <c r="BM28" i="4" a="1"/>
  <c r="BM28" i="4" s="1"/>
  <c r="BN28" i="4" a="1"/>
  <c r="BN28" i="4" s="1"/>
  <c r="AZ30" i="4" a="1"/>
  <c r="AZ30" i="4" s="1"/>
  <c r="BH28" i="4" a="1"/>
  <c r="BH28" i="4" s="1"/>
  <c r="AU30" i="4" a="1"/>
  <c r="AU30" i="4" s="1"/>
  <c r="BP30" i="4" a="1"/>
  <c r="BP30" i="4" s="1"/>
  <c r="BP41" i="4" a="1"/>
  <c r="BP41" i="4" s="1"/>
  <c r="BP40" i="4" a="1"/>
  <c r="BP40" i="4" s="1"/>
  <c r="BP38" i="4" a="1"/>
  <c r="BP38" i="4" s="1"/>
  <c r="BP32" i="4" a="1"/>
  <c r="BP32" i="4" s="1"/>
  <c r="BP36" i="4" a="1"/>
  <c r="BP36" i="4" s="1"/>
  <c r="BP43" i="4" a="1"/>
  <c r="BP43" i="4" s="1"/>
  <c r="BP47" i="4" a="1"/>
  <c r="BP47" i="4" s="1"/>
  <c r="BP44" i="4" a="1"/>
  <c r="BP44" i="4" s="1"/>
  <c r="BP35" i="4" a="1"/>
  <c r="BP35" i="4" s="1"/>
  <c r="BP46" i="4" a="1"/>
  <c r="BP46" i="4" s="1"/>
  <c r="BP29" i="4" a="1"/>
  <c r="BP29" i="4" s="1"/>
  <c r="BP39" i="4" a="1"/>
  <c r="BP39" i="4" s="1"/>
  <c r="BP45" i="4" a="1"/>
  <c r="BP45" i="4" s="1"/>
  <c r="BP48" i="4" a="1"/>
  <c r="BP48" i="4" s="1"/>
  <c r="BP34" i="4" a="1"/>
  <c r="BP34" i="4" s="1"/>
  <c r="BP42" i="4" a="1"/>
  <c r="BP42" i="4" s="1"/>
  <c r="BP37" i="4" a="1"/>
  <c r="BP37" i="4" s="1"/>
  <c r="BP28" i="4" a="1"/>
  <c r="BP28" i="4" s="1"/>
  <c r="BP33" i="4" a="1"/>
  <c r="BP33" i="4" s="1"/>
  <c r="BP31" i="4" a="1"/>
  <c r="BP31" i="4" s="1"/>
  <c r="BS32" i="4" a="1"/>
  <c r="BS32" i="4" s="1"/>
  <c r="BS36" i="4" a="1"/>
  <c r="BS36" i="4" s="1"/>
  <c r="BS42" i="4" a="1"/>
  <c r="BS42" i="4" s="1"/>
  <c r="BS37" i="4" a="1"/>
  <c r="BS37" i="4" s="1"/>
  <c r="BS43" i="4" a="1"/>
  <c r="BS43" i="4" s="1"/>
  <c r="BS33" i="4" a="1"/>
  <c r="BS33" i="4" s="1"/>
  <c r="BS41" i="4" a="1"/>
  <c r="BS41" i="4" s="1"/>
  <c r="BS29" i="4" a="1"/>
  <c r="BS29" i="4" s="1"/>
  <c r="BS30" i="4" a="1"/>
  <c r="BS30" i="4" s="1"/>
  <c r="BS48" i="4" a="1"/>
  <c r="BS48" i="4" s="1"/>
  <c r="BS34" i="4" a="1"/>
  <c r="BS34" i="4" s="1"/>
  <c r="BS45" i="4" a="1"/>
  <c r="BS45" i="4" s="1"/>
  <c r="BS39" i="4" a="1"/>
  <c r="BS39" i="4" s="1"/>
  <c r="BS44" i="4" a="1"/>
  <c r="BS44" i="4" s="1"/>
  <c r="BS47" i="4" a="1"/>
  <c r="BS47" i="4" s="1"/>
  <c r="BS38" i="4" a="1"/>
  <c r="BS38" i="4" s="1"/>
  <c r="BS40" i="4" a="1"/>
  <c r="BS40" i="4" s="1"/>
  <c r="BS31" i="4" a="1"/>
  <c r="BS31" i="4" s="1"/>
  <c r="BS35" i="4" a="1"/>
  <c r="BS35" i="4" s="1"/>
  <c r="BS28" i="4" a="1"/>
  <c r="BS28" i="4" s="1"/>
  <c r="BS46" i="4" a="1"/>
  <c r="BS46" i="4" s="1"/>
  <c r="BI28" i="4" a="1"/>
  <c r="BI28" i="4" s="1"/>
  <c r="AV30" i="4" a="1"/>
  <c r="AV30" i="4" s="1"/>
  <c r="BQ30" i="4" a="1"/>
  <c r="BQ30" i="4" s="1"/>
  <c r="BQ42" i="4" a="1"/>
  <c r="BQ42" i="4" s="1"/>
  <c r="BQ32" i="4" a="1"/>
  <c r="BQ32" i="4" s="1"/>
  <c r="BQ38" i="4" a="1"/>
  <c r="BQ38" i="4" s="1"/>
  <c r="BQ44" i="4" a="1"/>
  <c r="BQ44" i="4" s="1"/>
  <c r="BQ34" i="4" a="1"/>
  <c r="BQ34" i="4" s="1"/>
  <c r="BQ33" i="4" a="1"/>
  <c r="BQ33" i="4" s="1"/>
  <c r="BQ39" i="4" a="1"/>
  <c r="BQ39" i="4" s="1"/>
  <c r="BQ45" i="4" a="1"/>
  <c r="BQ45" i="4" s="1"/>
  <c r="BQ35" i="4" a="1"/>
  <c r="BQ35" i="4" s="1"/>
  <c r="BQ40" i="4" a="1"/>
  <c r="BQ40" i="4" s="1"/>
  <c r="BQ46" i="4" a="1"/>
  <c r="BQ46" i="4" s="1"/>
  <c r="BQ29" i="4" a="1"/>
  <c r="BQ29" i="4" s="1"/>
  <c r="BQ41" i="4" a="1"/>
  <c r="BQ41" i="4" s="1"/>
  <c r="BQ36" i="4" a="1"/>
  <c r="BQ36" i="4" s="1"/>
  <c r="BQ47" i="4" a="1"/>
  <c r="BQ47" i="4" s="1"/>
  <c r="BQ48" i="4" a="1"/>
  <c r="BQ48" i="4" s="1"/>
  <c r="BQ31" i="4" a="1"/>
  <c r="BQ31" i="4" s="1"/>
  <c r="BQ28" i="4" a="1"/>
  <c r="BQ28" i="4" s="1"/>
  <c r="BQ37" i="4" a="1"/>
  <c r="BQ37" i="4" s="1"/>
  <c r="BQ43" i="4" a="1"/>
  <c r="BQ43" i="4" s="1"/>
  <c r="BV41" i="4" a="1"/>
  <c r="BV41" i="4" s="1"/>
  <c r="BV30" i="4" a="1"/>
  <c r="BV30" i="4" s="1"/>
  <c r="BV47" i="4" a="1"/>
  <c r="BV47" i="4" s="1"/>
  <c r="BV31" i="4" a="1"/>
  <c r="BV31" i="4" s="1"/>
  <c r="BV48" i="4" a="1"/>
  <c r="BV48" i="4" s="1"/>
  <c r="BV37" i="4" a="1"/>
  <c r="BV37" i="4" s="1"/>
  <c r="BV32" i="4" a="1"/>
  <c r="BV32" i="4" s="1"/>
  <c r="BV38" i="4" a="1"/>
  <c r="BV38" i="4" s="1"/>
  <c r="BV45" i="4" a="1"/>
  <c r="BV45" i="4" s="1"/>
  <c r="BV28" i="4" a="1"/>
  <c r="BV28" i="4" s="1"/>
  <c r="BV46" i="4" a="1"/>
  <c r="BV46" i="4" s="1"/>
  <c r="BV39" i="4" a="1"/>
  <c r="BV39" i="4" s="1"/>
  <c r="BV42" i="4" a="1"/>
  <c r="BV42" i="4" s="1"/>
  <c r="BV33" i="4" a="1"/>
  <c r="BV33" i="4" s="1"/>
  <c r="BV40" i="4" a="1"/>
  <c r="BV40" i="4" s="1"/>
  <c r="BV35" i="4" a="1"/>
  <c r="BV35" i="4" s="1"/>
  <c r="BV44" i="4" a="1"/>
  <c r="BV44" i="4" s="1"/>
  <c r="BV29" i="4" a="1"/>
  <c r="BV29" i="4" s="1"/>
  <c r="BV34" i="4" a="1"/>
  <c r="BV34" i="4" s="1"/>
  <c r="BV36" i="4" a="1"/>
  <c r="BV36" i="4" s="1"/>
  <c r="BV43" i="4" a="1"/>
  <c r="BV43" i="4" s="1"/>
  <c r="BT35" i="4" a="1"/>
  <c r="BT35" i="4" s="1"/>
  <c r="BT31" i="4" a="1"/>
  <c r="BT31" i="4" s="1"/>
  <c r="BT42" i="4" a="1"/>
  <c r="BT42" i="4" s="1"/>
  <c r="BT32" i="4" a="1"/>
  <c r="BT32" i="4" s="1"/>
  <c r="BT44" i="4" a="1"/>
  <c r="BT44" i="4" s="1"/>
  <c r="BT28" i="4" a="1"/>
  <c r="BT28" i="4" s="1"/>
  <c r="BT40" i="4" a="1"/>
  <c r="BT40" i="4" s="1"/>
  <c r="BT36" i="4" a="1"/>
  <c r="BT36" i="4" s="1"/>
  <c r="BT39" i="4" a="1"/>
  <c r="BT39" i="4" s="1"/>
  <c r="BT48" i="4" a="1"/>
  <c r="BT48" i="4" s="1"/>
  <c r="BT46" i="4" a="1"/>
  <c r="BT46" i="4" s="1"/>
  <c r="BT45" i="4" a="1"/>
  <c r="BT45" i="4" s="1"/>
  <c r="BT41" i="4" a="1"/>
  <c r="BT41" i="4" s="1"/>
  <c r="BT43" i="4" a="1"/>
  <c r="BT43" i="4" s="1"/>
  <c r="BT34" i="4" a="1"/>
  <c r="BT34" i="4" s="1"/>
  <c r="BT37" i="4" a="1"/>
  <c r="BT37" i="4" s="1"/>
  <c r="BT38" i="4" a="1"/>
  <c r="BT38" i="4" s="1"/>
  <c r="BT47" i="4" a="1"/>
  <c r="BT47" i="4" s="1"/>
  <c r="BT33" i="4" a="1"/>
  <c r="BT33" i="4" s="1"/>
  <c r="BT30" i="4" a="1"/>
  <c r="BT30" i="4" s="1"/>
  <c r="BT29" i="4" a="1"/>
  <c r="BT29" i="4" s="1"/>
  <c r="BJ28" i="4" a="1"/>
  <c r="BJ28" i="4" s="1"/>
  <c r="AW30" i="4" a="1"/>
  <c r="AW30" i="4" s="1"/>
  <c r="BU28" i="4" a="1"/>
  <c r="BU28" i="4" s="1"/>
  <c r="BU48" i="4" a="1"/>
  <c r="BU48" i="4" s="1"/>
  <c r="BU42" i="4" a="1"/>
  <c r="BU42" i="4" s="1"/>
  <c r="BU32" i="4" a="1"/>
  <c r="BU32" i="4" s="1"/>
  <c r="BU38" i="4" a="1"/>
  <c r="BU38" i="4" s="1"/>
  <c r="BU44" i="4" a="1"/>
  <c r="BU44" i="4" s="1"/>
  <c r="BU35" i="4" a="1"/>
  <c r="BU35" i="4" s="1"/>
  <c r="BU41" i="4" a="1"/>
  <c r="BU41" i="4" s="1"/>
  <c r="BU39" i="4" a="1"/>
  <c r="BU39" i="4" s="1"/>
  <c r="BU33" i="4" a="1"/>
  <c r="BU33" i="4" s="1"/>
  <c r="BU45" i="4" a="1"/>
  <c r="BU45" i="4" s="1"/>
  <c r="BU29" i="4" a="1"/>
  <c r="BU29" i="4" s="1"/>
  <c r="BU43" i="4" a="1"/>
  <c r="BU43" i="4" s="1"/>
  <c r="BU31" i="4" a="1"/>
  <c r="BU31" i="4" s="1"/>
  <c r="BU36" i="4" a="1"/>
  <c r="BU36" i="4" s="1"/>
  <c r="BU47" i="4" a="1"/>
  <c r="BU47" i="4" s="1"/>
  <c r="BU46" i="4" a="1"/>
  <c r="BU46" i="4" s="1"/>
  <c r="BU37" i="4" a="1"/>
  <c r="BU37" i="4" s="1"/>
  <c r="BU30" i="4" a="1"/>
  <c r="BU30" i="4" s="1"/>
  <c r="BU40" i="4" a="1"/>
  <c r="BU40" i="4" s="1"/>
  <c r="BU34" i="4" a="1"/>
  <c r="BU34" i="4" s="1"/>
  <c r="BR37" i="4" a="1"/>
  <c r="BR37" i="4" s="1"/>
  <c r="BR45" i="4" a="1"/>
  <c r="BR45" i="4" s="1"/>
  <c r="BR38" i="4" a="1"/>
  <c r="BR38" i="4" s="1"/>
  <c r="BR28" i="4" a="1"/>
  <c r="BR28" i="4" s="1"/>
  <c r="BR35" i="4" a="1"/>
  <c r="BR35" i="4" s="1"/>
  <c r="BR46" i="4" a="1"/>
  <c r="BR46" i="4" s="1"/>
  <c r="BR36" i="4" a="1"/>
  <c r="BR36" i="4" s="1"/>
  <c r="BR47" i="4" a="1"/>
  <c r="BR47" i="4" s="1"/>
  <c r="BR31" i="4" a="1"/>
  <c r="BR31" i="4" s="1"/>
  <c r="BR33" i="4" a="1"/>
  <c r="BR33" i="4" s="1"/>
  <c r="BR39" i="4" a="1"/>
  <c r="BR39" i="4" s="1"/>
  <c r="BR29" i="4" a="1"/>
  <c r="BR29" i="4" s="1"/>
  <c r="BR42" i="4" a="1"/>
  <c r="BR42" i="4" s="1"/>
  <c r="BR44" i="4" a="1"/>
  <c r="BR44" i="4" s="1"/>
  <c r="BR43" i="4" a="1"/>
  <c r="BR43" i="4" s="1"/>
  <c r="BR34" i="4" a="1"/>
  <c r="BR34" i="4" s="1"/>
  <c r="BR48" i="4" a="1"/>
  <c r="BR48" i="4" s="1"/>
  <c r="BR41" i="4" a="1"/>
  <c r="BR41" i="4" s="1"/>
  <c r="BR30" i="4" a="1"/>
  <c r="BR30" i="4" s="1"/>
  <c r="BR40" i="4" a="1"/>
  <c r="BR40" i="4" s="1"/>
  <c r="BR32" i="4" a="1"/>
  <c r="BR32" i="4" s="1"/>
  <c r="BX26" i="4" l="1" a="1"/>
  <c r="BX26" i="4" s="1"/>
  <c r="BY26" i="4" s="1" a="1"/>
  <c r="CB27" i="4" l="1"/>
  <c r="BY26" i="4"/>
  <c r="CB26" i="4" s="1"/>
  <c r="CB29" i="4"/>
  <c r="CB28" i="4"/>
  <c r="BJ20" i="4" l="1"/>
  <c r="C5" i="4" s="1"/>
  <c r="C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<sst xmlns="http://schemas.openxmlformats.org/spreadsheetml/2006/main" count="437" uniqueCount="213">
  <si>
    <t>Scores</t>
  </si>
  <si>
    <t>merge</t>
  </si>
  <si>
    <t>kamara</t>
  </si>
  <si>
    <t>Brills</t>
  </si>
  <si>
    <t>matchups</t>
  </si>
  <si>
    <t>opponent score</t>
  </si>
  <si>
    <t>Won?</t>
  </si>
  <si>
    <t>wins</t>
  </si>
  <si>
    <t>standings</t>
  </si>
  <si>
    <t>points for</t>
  </si>
  <si>
    <t>Rank</t>
  </si>
  <si>
    <t>adj amount</t>
  </si>
  <si>
    <t>Rank Adj</t>
  </si>
  <si>
    <t>rank adj</t>
  </si>
  <si>
    <t>tied</t>
  </si>
  <si>
    <t>Array</t>
  </si>
  <si>
    <t>2DArray</t>
  </si>
  <si>
    <t>AVG PF</t>
  </si>
  <si>
    <t>PF</t>
  </si>
  <si>
    <t>PA</t>
  </si>
  <si>
    <t>Proj Against</t>
  </si>
  <si>
    <t>14AVG - x</t>
  </si>
  <si>
    <t>Expected PA</t>
  </si>
  <si>
    <t>Ex PA - Actual PA</t>
  </si>
  <si>
    <t>AVG Ex PA - Act PA</t>
  </si>
  <si>
    <t>Best Draft</t>
  </si>
  <si>
    <t>Sums</t>
  </si>
  <si>
    <t>cook</t>
  </si>
  <si>
    <t>mvps</t>
  </si>
  <si>
    <t>total</t>
  </si>
  <si>
    <t>stroud</t>
  </si>
  <si>
    <t>det</t>
  </si>
  <si>
    <t>cd</t>
  </si>
  <si>
    <t>brills</t>
  </si>
  <si>
    <t>prof</t>
  </si>
  <si>
    <t>hosp</t>
  </si>
  <si>
    <t>Points off perfect</t>
  </si>
  <si>
    <t>[303.92, 203.7, 319.72, 150.7, 207.2, 235.64, 374.2, 162.3, 250.74, 239.8];</t>
  </si>
  <si>
    <t>Waiver Claims</t>
  </si>
  <si>
    <t>erich</t>
  </si>
  <si>
    <t>andy</t>
  </si>
  <si>
    <t>indrenel</t>
  </si>
  <si>
    <t>daniel</t>
  </si>
  <si>
    <t>drew</t>
  </si>
  <si>
    <t>taylor</t>
  </si>
  <si>
    <t>laura</t>
  </si>
  <si>
    <t>osman</t>
  </si>
  <si>
    <t>rahul</t>
  </si>
  <si>
    <t>week 2</t>
  </si>
  <si>
    <t>name</t>
  </si>
  <si>
    <t>player</t>
  </si>
  <si>
    <t>kittle</t>
  </si>
  <si>
    <t>pos</t>
  </si>
  <si>
    <t>starter</t>
  </si>
  <si>
    <t>notes</t>
  </si>
  <si>
    <t>no backup</t>
  </si>
  <si>
    <t>purdy</t>
  </si>
  <si>
    <t>reed</t>
  </si>
  <si>
    <t>worthy</t>
  </si>
  <si>
    <t>out</t>
  </si>
  <si>
    <t>Week 3</t>
  </si>
  <si>
    <t>daneiles</t>
  </si>
  <si>
    <t>fields</t>
  </si>
  <si>
    <t>ekler</t>
  </si>
  <si>
    <t>indrn</t>
  </si>
  <si>
    <t>jennings</t>
  </si>
  <si>
    <t>engram</t>
  </si>
  <si>
    <t>lamb</t>
  </si>
  <si>
    <t>QB</t>
  </si>
  <si>
    <t>RB</t>
  </si>
  <si>
    <t>WR</t>
  </si>
  <si>
    <t>TE</t>
  </si>
  <si>
    <t>FLEX</t>
  </si>
  <si>
    <t>D</t>
  </si>
  <si>
    <t>K</t>
  </si>
  <si>
    <t>order of pos</t>
  </si>
  <si>
    <t>Flex</t>
  </si>
  <si>
    <t>Jonathan Taylor</t>
  </si>
  <si>
    <t>Tyreek Hill</t>
  </si>
  <si>
    <t>D/ST</t>
  </si>
  <si>
    <t>TOTALS</t>
  </si>
  <si>
    <t>Bench</t>
  </si>
  <si>
    <t>Atl</t>
  </si>
  <si>
    <t>NEWR</t>
  </si>
  <si>
    <t>SLOT</t>
  </si>
  <si>
    <t>Player, Team POS</t>
  </si>
  <si>
    <t>opp</t>
  </si>
  <si>
    <t>STATUS</t>
  </si>
  <si>
    <t>proj</t>
  </si>
  <si>
    <t>FPTS</t>
  </si>
  <si>
    <t>ST</t>
  </si>
  <si>
    <t>@KC</t>
  </si>
  <si>
    <t>W 20-17</t>
  </si>
  <si>
    <t>@Ind</t>
  </si>
  <si>
    <t>L 28-29</t>
  </si>
  <si>
    <t>L 6-22</t>
  </si>
  <si>
    <t>Phi</t>
  </si>
  <si>
    <t>L 17-20</t>
  </si>
  <si>
    <t>@Det</t>
  </si>
  <si>
    <t>L 21-52</t>
  </si>
  <si>
    <t>Jared GoffJared Goff</t>
  </si>
  <si>
    <t>Jared Goff</t>
  </si>
  <si>
    <t>DetQB</t>
  </si>
  <si>
    <t>Chi</t>
  </si>
  <si>
    <t>W 52-21</t>
  </si>
  <si>
    <t>Saquon BarkleySaquon Barkley</t>
  </si>
  <si>
    <t>Saquon Barkley</t>
  </si>
  <si>
    <t>PhiRB</t>
  </si>
  <si>
    <t>Jonathan TaylorJonathan Taylor</t>
  </si>
  <si>
    <t>IndRB</t>
  </si>
  <si>
    <t>Den</t>
  </si>
  <si>
    <t>W 29-28</t>
  </si>
  <si>
    <t>Tyreek HillTyreek Hill</t>
  </si>
  <si>
    <t>MiaWR</t>
  </si>
  <si>
    <t>NE</t>
  </si>
  <si>
    <t>L 27-33</t>
  </si>
  <si>
    <t>Garrett WilsonGarrett Wilson</t>
  </si>
  <si>
    <t>Garrett Wilson</t>
  </si>
  <si>
    <t>NYJWR</t>
  </si>
  <si>
    <t>Buf</t>
  </si>
  <si>
    <t>L 10-30</t>
  </si>
  <si>
    <t>Travis KelceTravis Kelce</t>
  </si>
  <si>
    <t>Travis Kelce</t>
  </si>
  <si>
    <t>KCTE</t>
  </si>
  <si>
    <t>Alvin KamaraAlvin Kamara</t>
  </si>
  <si>
    <t>Alvin Kamara</t>
  </si>
  <si>
    <t>NORB</t>
  </si>
  <si>
    <t>SF</t>
  </si>
  <si>
    <t>L 21-26</t>
  </si>
  <si>
    <t>Broncos D/STBroncos D/ST</t>
  </si>
  <si>
    <t>Broncos</t>
  </si>
  <si>
    <t>DenD/ST</t>
  </si>
  <si>
    <t>Harrison ButkerHarrison Butker</t>
  </si>
  <si>
    <t>Harrison Butker</t>
  </si>
  <si>
    <t>KCK</t>
  </si>
  <si>
    <t>DJ MooreDJ Moore</t>
  </si>
  <si>
    <t>DJ Moore</t>
  </si>
  <si>
    <t>ChiWR</t>
  </si>
  <si>
    <t>Chris OlaveChris Olave</t>
  </si>
  <si>
    <t>Chris Olave</t>
  </si>
  <si>
    <t>NOWR</t>
  </si>
  <si>
    <t>Stefon DiggsStefon Diggs</t>
  </si>
  <si>
    <t>Stefon Diggs</t>
  </si>
  <si>
    <t>@Mia</t>
  </si>
  <si>
    <t>W 33-27</t>
  </si>
  <si>
    <t>Deebo SamuelDeebo Samuel</t>
  </si>
  <si>
    <t>Deebo Samuel</t>
  </si>
  <si>
    <t>WshWR</t>
  </si>
  <si>
    <t>@GB</t>
  </si>
  <si>
    <t>L 18-27</t>
  </si>
  <si>
    <t>Jordan AddisonJordan Addison</t>
  </si>
  <si>
    <t>Jordan Addison</t>
  </si>
  <si>
    <t>MinWR</t>
  </si>
  <si>
    <t>C.J. StroudC.J. Stroud</t>
  </si>
  <si>
    <t>C.J. Stroud</t>
  </si>
  <si>
    <t>HouQB</t>
  </si>
  <si>
    <t>TB</t>
  </si>
  <si>
    <t>L 19-20</t>
  </si>
  <si>
    <t>Hollywood BrownHollywood Brown</t>
  </si>
  <si>
    <t>Hollywood Brown</t>
  </si>
  <si>
    <t>KCWR</t>
  </si>
  <si>
    <t>Pos</t>
  </si>
  <si>
    <t>CeeDee Lamb</t>
  </si>
  <si>
    <t>DalWR</t>
  </si>
  <si>
    <t>Place</t>
  </si>
  <si>
    <t>score</t>
  </si>
  <si>
    <t>helper</t>
  </si>
  <si>
    <t>row num</t>
  </si>
  <si>
    <t>posTeam</t>
  </si>
  <si>
    <t>Actual Score</t>
  </si>
  <si>
    <t>Actual Scoring</t>
  </si>
  <si>
    <t>Vslues with Nas so I can filter out the Nas Easier</t>
  </si>
  <si>
    <t>Cleaned Data</t>
  </si>
  <si>
    <t>Sorted values</t>
  </si>
  <si>
    <t>NUMBER PLAYERS PER POS</t>
  </si>
  <si>
    <t>TOP Scores Per Position</t>
  </si>
  <si>
    <t xml:space="preserve">raw </t>
  </si>
  <si>
    <t>sorted</t>
  </si>
  <si>
    <t>raw</t>
  </si>
  <si>
    <t>Funky POS</t>
  </si>
  <si>
    <t>Avalible POS</t>
  </si>
  <si>
    <t>Position soreted Scores</t>
  </si>
  <si>
    <t>POS start index</t>
  </si>
  <si>
    <t>Position soreted avalible Scores</t>
  </si>
  <si>
    <t>FLEX COUNT</t>
  </si>
  <si>
    <t>Combined</t>
  </si>
  <si>
    <t>Sorted Combined</t>
  </si>
  <si>
    <t>exclude</t>
  </si>
  <si>
    <t>Scoure</t>
  </si>
  <si>
    <t>PerfectScoure</t>
  </si>
  <si>
    <t>NUMBER PLAYERS PER POS(transpose)</t>
  </si>
  <si>
    <t>Week 4</t>
  </si>
  <si>
    <t>Conner</t>
  </si>
  <si>
    <t>Taylor</t>
  </si>
  <si>
    <t>loveland</t>
  </si>
  <si>
    <t>eric</t>
  </si>
  <si>
    <t>Warren</t>
  </si>
  <si>
    <t>evans</t>
  </si>
  <si>
    <t>tracy</t>
  </si>
  <si>
    <t>jones sr</t>
  </si>
  <si>
    <t>Bone</t>
  </si>
  <si>
    <t>Jeanty</t>
  </si>
  <si>
    <t>HotDog</t>
  </si>
  <si>
    <t>Jamara</t>
  </si>
  <si>
    <t>chiefs</t>
  </si>
  <si>
    <t>mahoms</t>
  </si>
  <si>
    <t>johnathan</t>
  </si>
  <si>
    <t>not last</t>
  </si>
  <si>
    <t>[[8, 4, 2, 4, 3, 3, 4, 3, 2, 3, 5, 4, 5, 5], [7, 9, 10, 10, 10, 10, 10, 9, 10, 9, 10, 8, 9, 8], [10, 10, 7, 8, 8, 8, 8, 8, 8, 7, 7, 6, 6, 7], [2, 7, 4, 6, 5, 5, 7, 5, 7, 8, 8, 9, 10, 10], [9, 6, 8, 5, 6, 6, 5, 7, 5, 6, 6, 7, 7, 6], [5, 3, 1, 1, 4, 2, 1, 2, 3, 2, 2, 3, 4, 4], [3, 1, 5, 2, 1, 1, 2, 1, 1, 1, 1, 1, 1, 1], [1, 5, 3, 3, 2, 4, 3, 6, 4, 4, 3, 5, 3, 2], [6, 8, 9, 9, 9, 9, 9, 10, 9, 10, 9, 10, 8, 9], [4, 2, 6, 7, 7, 7, 6, 4, 6, 5, 4, 2, 2, 3]]</t>
  </si>
  <si>
    <t>[19, 23, 11, 3, 11, 20, 11, 14, 22, 15];</t>
  </si>
  <si>
    <t>[5.85, 4.36, 0.97, -6.7, -8.21, -1.08, 2.88, 9.65, -14.28, 6.57];</t>
  </si>
  <si>
    <t>[2406, 1681.2, 1821.1, 2213.2, 1601.58, 1878.2, 2074.4, 2006.8, 1616.6, 1871.1];</t>
  </si>
  <si>
    <t>[[3.17, 3, 2, 2.34, 1.34, 3, 3.17, 3, 1.17, 3, 4, 4, 4, 3], [3, 5, 5, 6, 7, 7, 6, 6, 6, 6, 8, 6, 7, 6], [3.51, 5.17, 3, 4, 5, 5, 4.17, 5, 4.17, 5, 6, 5, 5, 5], [1.17, 3.51, 2.34, 3.17, 3, 4, 4, 4, 4, 5.17, 6.17, 6.17, 7.17, 8], [3.34, 3.34, 3.17, 3, 3.17, 4.17, 3.34, 4.34, 3.17, 4, 5, 5.17, 5.17, 4], [2, 2, 1, 1, 2, 2, 1, 2, 2, 2, 2, 3, 3, 2], [1.34, 1, 2.51, 2, 1, 1, 2, 1, 1, 1, 1, 1, 1, 1], [1, 3.17, 2.17, 2.17, 1.17, 3.17, 3, 4.17, 3, 3.17, 3, 4.17, 2, 1.17], [2.17, 4, 4, 5, 6, 6, 5, 7, 5, 7, 7, 7, 6, 7], [1.51, 1.17, 2.68, 3.34, 4, 4.34, 3.51, 3.17, 3.34, 3.34, 3.17, 2, 1.17, 1.34]];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</si>
</sst>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84"/>
  <sheetViews>
    <sheetView tabSelected="1" topLeftCell="O94" workbookViewId="0">
      <selection activeCell="AD106" sqref="AD106"/>
    </sheetView>
  </sheetViews>
  <sheetFormatPr defaultRowHeight="14.4" x14ac:dyDescent="0.3"/>
  <sheetData>
    <row r="1" spans="1:17" x14ac:dyDescent="0.3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</row>
    <row r="2" spans="1:17" x14ac:dyDescent="0.3">
      <c r="A2" s="1">
        <v>1</v>
      </c>
      <c r="B2" s="2" t="s">
        <v>200</v>
      </c>
      <c r="C2">
        <v>91.28</v>
      </c>
      <c r="D2">
        <v>138.68</v>
      </c>
      <c r="E2">
        <v>104.42</v>
      </c>
      <c r="F2">
        <v>112.78</v>
      </c>
      <c r="G2">
        <v>113.34</v>
      </c>
      <c r="H2">
        <v>97.56</v>
      </c>
      <c r="I2">
        <v>85.72</v>
      </c>
      <c r="J2">
        <v>136.38</v>
      </c>
      <c r="K2">
        <v>135.6</v>
      </c>
      <c r="L2">
        <v>88.8</v>
      </c>
      <c r="M2">
        <v>77.34</v>
      </c>
      <c r="N2">
        <v>115.16</v>
      </c>
      <c r="O2">
        <v>72.34</v>
      </c>
      <c r="P2">
        <v>119.34</v>
      </c>
      <c r="Q2" s="1">
        <f>SUM(C2:P2)</f>
        <v>1488.7399999999998</v>
      </c>
    </row>
    <row r="3" spans="1:17" x14ac:dyDescent="0.3">
      <c r="A3" s="1">
        <v>2</v>
      </c>
      <c r="B3" s="2" t="s">
        <v>207</v>
      </c>
      <c r="C3">
        <v>94.12</v>
      </c>
      <c r="D3">
        <v>77.94</v>
      </c>
      <c r="E3">
        <v>97.52</v>
      </c>
      <c r="F3">
        <v>81.28</v>
      </c>
      <c r="G3">
        <v>107.58</v>
      </c>
      <c r="H3">
        <v>68.180000000000007</v>
      </c>
      <c r="I3">
        <v>129.62</v>
      </c>
      <c r="J3">
        <v>105.38</v>
      </c>
      <c r="K3">
        <v>88.98</v>
      </c>
      <c r="L3">
        <v>121.3</v>
      </c>
      <c r="M3">
        <v>95.02</v>
      </c>
      <c r="N3">
        <v>136.78</v>
      </c>
      <c r="O3">
        <v>92.14</v>
      </c>
      <c r="P3">
        <v>109.9</v>
      </c>
      <c r="Q3" s="1">
        <f t="shared" ref="Q3:Q11" si="0">SUM(C3:P3)</f>
        <v>1405.7400000000002</v>
      </c>
    </row>
    <row r="4" spans="1:17" x14ac:dyDescent="0.3">
      <c r="A4" s="1">
        <v>3</v>
      </c>
      <c r="B4" s="2" t="s">
        <v>201</v>
      </c>
      <c r="C4">
        <v>70.98</v>
      </c>
      <c r="D4">
        <v>95.64</v>
      </c>
      <c r="E4">
        <v>154.04</v>
      </c>
      <c r="F4">
        <v>102.9</v>
      </c>
      <c r="G4">
        <v>87.4</v>
      </c>
      <c r="H4">
        <v>80.52</v>
      </c>
      <c r="I4">
        <v>125.54</v>
      </c>
      <c r="J4">
        <v>111.56</v>
      </c>
      <c r="K4">
        <v>98.1</v>
      </c>
      <c r="L4">
        <v>85.82</v>
      </c>
      <c r="M4">
        <v>75.3</v>
      </c>
      <c r="N4">
        <v>144.36000000000001</v>
      </c>
      <c r="O4">
        <v>114.2</v>
      </c>
      <c r="P4">
        <v>80.8</v>
      </c>
      <c r="Q4" s="1">
        <f t="shared" si="0"/>
        <v>1427.1599999999999</v>
      </c>
    </row>
    <row r="5" spans="1:17" x14ac:dyDescent="0.3">
      <c r="A5" s="1">
        <v>4</v>
      </c>
      <c r="B5" s="2" t="s">
        <v>205</v>
      </c>
      <c r="C5">
        <v>109.02</v>
      </c>
      <c r="D5">
        <v>89.98</v>
      </c>
      <c r="E5">
        <v>130.66</v>
      </c>
      <c r="F5">
        <v>90.9</v>
      </c>
      <c r="G5">
        <v>139.04</v>
      </c>
      <c r="H5">
        <v>119.58</v>
      </c>
      <c r="I5">
        <v>100.14</v>
      </c>
      <c r="J5">
        <v>134.06</v>
      </c>
      <c r="K5">
        <v>56.5</v>
      </c>
      <c r="L5">
        <v>32.4</v>
      </c>
      <c r="M5">
        <v>48.94</v>
      </c>
      <c r="N5">
        <v>51.38</v>
      </c>
      <c r="O5">
        <v>64.040000000000006</v>
      </c>
      <c r="P5">
        <v>54.4</v>
      </c>
      <c r="Q5" s="1">
        <f t="shared" si="0"/>
        <v>1221.04</v>
      </c>
    </row>
    <row r="6" spans="1:17" x14ac:dyDescent="0.3">
      <c r="A6" s="1">
        <v>5</v>
      </c>
      <c r="B6" s="2" t="s">
        <v>203</v>
      </c>
      <c r="C6">
        <v>89.96</v>
      </c>
      <c r="D6">
        <v>117.82</v>
      </c>
      <c r="E6">
        <v>112.22</v>
      </c>
      <c r="F6">
        <v>109.36</v>
      </c>
      <c r="G6">
        <v>110.82</v>
      </c>
      <c r="H6">
        <v>74.3</v>
      </c>
      <c r="I6">
        <v>104.34</v>
      </c>
      <c r="J6">
        <v>89.02</v>
      </c>
      <c r="K6">
        <v>113.32</v>
      </c>
      <c r="L6">
        <v>91.44</v>
      </c>
      <c r="M6">
        <v>105.98</v>
      </c>
      <c r="N6">
        <v>86.62</v>
      </c>
      <c r="O6">
        <v>128.72</v>
      </c>
      <c r="P6">
        <v>110.64</v>
      </c>
      <c r="Q6" s="1">
        <f t="shared" si="0"/>
        <v>1444.5600000000004</v>
      </c>
    </row>
    <row r="7" spans="1:17" x14ac:dyDescent="0.3">
      <c r="A7" s="1">
        <v>6</v>
      </c>
      <c r="B7" s="2" t="s">
        <v>206</v>
      </c>
      <c r="C7">
        <v>112.82</v>
      </c>
      <c r="D7">
        <v>121.86</v>
      </c>
      <c r="E7">
        <v>114.98</v>
      </c>
      <c r="F7">
        <v>109.22</v>
      </c>
      <c r="G7">
        <v>126.68</v>
      </c>
      <c r="H7">
        <v>88.66</v>
      </c>
      <c r="I7">
        <v>114.66</v>
      </c>
      <c r="J7">
        <v>138.91999999999999</v>
      </c>
      <c r="K7">
        <v>81.239999999999995</v>
      </c>
      <c r="L7">
        <v>150.38</v>
      </c>
      <c r="M7">
        <v>105.56</v>
      </c>
      <c r="N7">
        <v>68.86</v>
      </c>
      <c r="O7">
        <v>77.84</v>
      </c>
      <c r="P7">
        <v>83.36</v>
      </c>
      <c r="Q7" s="1">
        <f t="shared" si="0"/>
        <v>1495.0399999999995</v>
      </c>
    </row>
    <row r="8" spans="1:17" x14ac:dyDescent="0.3">
      <c r="A8" s="1">
        <v>7</v>
      </c>
      <c r="B8" s="2" t="s">
        <v>204</v>
      </c>
      <c r="C8">
        <v>104.88</v>
      </c>
      <c r="D8">
        <v>136.04</v>
      </c>
      <c r="E8">
        <v>80.58</v>
      </c>
      <c r="F8">
        <v>143.96</v>
      </c>
      <c r="G8">
        <v>113.06</v>
      </c>
      <c r="H8">
        <v>126.64</v>
      </c>
      <c r="I8">
        <v>98.68</v>
      </c>
      <c r="J8">
        <v>182.78</v>
      </c>
      <c r="K8">
        <v>102.84</v>
      </c>
      <c r="L8">
        <v>148.5</v>
      </c>
      <c r="M8">
        <v>100.1</v>
      </c>
      <c r="N8">
        <v>112.72</v>
      </c>
      <c r="O8">
        <v>92.62</v>
      </c>
      <c r="P8">
        <v>99.34</v>
      </c>
      <c r="Q8" s="1">
        <f t="shared" si="0"/>
        <v>1642.7399999999996</v>
      </c>
    </row>
    <row r="9" spans="1:17" x14ac:dyDescent="0.3">
      <c r="A9" s="1">
        <v>8</v>
      </c>
      <c r="B9" s="2" t="s">
        <v>202</v>
      </c>
      <c r="C9">
        <v>111.76</v>
      </c>
      <c r="D9">
        <v>109.1</v>
      </c>
      <c r="E9">
        <v>113.12</v>
      </c>
      <c r="F9">
        <v>115.08</v>
      </c>
      <c r="G9">
        <v>123.82</v>
      </c>
      <c r="H9">
        <v>74.7</v>
      </c>
      <c r="I9">
        <v>113.64</v>
      </c>
      <c r="J9">
        <v>100.46</v>
      </c>
      <c r="K9">
        <v>99.46</v>
      </c>
      <c r="L9">
        <v>107.04</v>
      </c>
      <c r="M9">
        <v>100.52</v>
      </c>
      <c r="N9">
        <v>88.72</v>
      </c>
      <c r="O9">
        <v>94.84</v>
      </c>
      <c r="P9">
        <v>127.56</v>
      </c>
      <c r="Q9" s="1">
        <f t="shared" si="0"/>
        <v>1479.82</v>
      </c>
    </row>
    <row r="10" spans="1:17" x14ac:dyDescent="0.3">
      <c r="A10" s="1">
        <v>9</v>
      </c>
      <c r="B10" s="2">
        <v>141</v>
      </c>
      <c r="C10">
        <v>112.82</v>
      </c>
      <c r="D10">
        <v>101.8</v>
      </c>
      <c r="E10">
        <v>89.66</v>
      </c>
      <c r="F10">
        <v>129.9</v>
      </c>
      <c r="G10">
        <v>95.2</v>
      </c>
      <c r="H10">
        <v>187.42</v>
      </c>
      <c r="I10">
        <v>119.94</v>
      </c>
      <c r="J10">
        <v>64.98</v>
      </c>
      <c r="K10">
        <v>137.6</v>
      </c>
      <c r="L10">
        <v>82.2</v>
      </c>
      <c r="M10">
        <v>145.12</v>
      </c>
      <c r="N10">
        <v>90.24</v>
      </c>
      <c r="O10">
        <v>125.84</v>
      </c>
      <c r="P10">
        <v>79.680000000000007</v>
      </c>
      <c r="Q10" s="1">
        <f t="shared" si="0"/>
        <v>1562.3999999999999</v>
      </c>
    </row>
    <row r="11" spans="1:17" x14ac:dyDescent="0.3">
      <c r="A11" s="1">
        <v>10</v>
      </c>
      <c r="B11" s="2" t="s">
        <v>3</v>
      </c>
      <c r="C11">
        <v>80.42</v>
      </c>
      <c r="D11">
        <v>103.6</v>
      </c>
      <c r="E11">
        <v>72.42</v>
      </c>
      <c r="F11">
        <v>92.02</v>
      </c>
      <c r="G11">
        <v>106.74</v>
      </c>
      <c r="H11">
        <v>100.36</v>
      </c>
      <c r="I11">
        <v>104.14</v>
      </c>
      <c r="J11">
        <v>113.88</v>
      </c>
      <c r="K11">
        <v>119.16</v>
      </c>
      <c r="L11">
        <v>100.9</v>
      </c>
      <c r="M11">
        <v>117.94</v>
      </c>
      <c r="N11">
        <v>90.76</v>
      </c>
      <c r="O11">
        <v>123.98</v>
      </c>
      <c r="P11">
        <v>94.42</v>
      </c>
      <c r="Q11" s="1">
        <f t="shared" si="0"/>
        <v>1420.74</v>
      </c>
    </row>
    <row r="15" spans="1:17" x14ac:dyDescent="0.3">
      <c r="B15" t="s">
        <v>4</v>
      </c>
    </row>
    <row r="16" spans="1:17" x14ac:dyDescent="0.3">
      <c r="A16" s="1">
        <v>1</v>
      </c>
      <c r="B16" t="str">
        <f>B2</f>
        <v>Bone</v>
      </c>
      <c r="C16">
        <v>7</v>
      </c>
      <c r="D16">
        <v>8</v>
      </c>
      <c r="E16">
        <v>9</v>
      </c>
      <c r="F16">
        <v>3</v>
      </c>
      <c r="G16">
        <v>2</v>
      </c>
      <c r="H16">
        <v>10</v>
      </c>
      <c r="I16">
        <v>6</v>
      </c>
      <c r="J16">
        <v>5</v>
      </c>
      <c r="K16">
        <v>4</v>
      </c>
      <c r="L16">
        <v>7</v>
      </c>
      <c r="M16">
        <v>8</v>
      </c>
      <c r="N16">
        <v>9</v>
      </c>
      <c r="O16">
        <v>3</v>
      </c>
      <c r="P16">
        <v>9</v>
      </c>
    </row>
    <row r="17" spans="1:17" x14ac:dyDescent="0.3">
      <c r="A17" s="1">
        <v>2</v>
      </c>
      <c r="B17" t="str">
        <f t="shared" ref="B17:B25" si="1">B3</f>
        <v>not last</v>
      </c>
      <c r="C17">
        <v>4</v>
      </c>
      <c r="D17">
        <v>10</v>
      </c>
      <c r="E17">
        <v>6</v>
      </c>
      <c r="F17">
        <v>5</v>
      </c>
      <c r="G17">
        <v>1</v>
      </c>
      <c r="H17">
        <v>7</v>
      </c>
      <c r="I17">
        <v>8</v>
      </c>
      <c r="J17">
        <v>9</v>
      </c>
      <c r="K17">
        <v>3</v>
      </c>
      <c r="L17">
        <v>4</v>
      </c>
      <c r="M17">
        <v>10</v>
      </c>
      <c r="N17">
        <v>6</v>
      </c>
      <c r="O17">
        <v>5</v>
      </c>
      <c r="P17">
        <v>7</v>
      </c>
    </row>
    <row r="18" spans="1:17" x14ac:dyDescent="0.3">
      <c r="A18" s="1">
        <v>3</v>
      </c>
      <c r="B18" t="str">
        <f t="shared" si="1"/>
        <v>Jeanty</v>
      </c>
      <c r="C18">
        <v>10</v>
      </c>
      <c r="D18">
        <v>6</v>
      </c>
      <c r="E18">
        <v>5</v>
      </c>
      <c r="F18">
        <v>1</v>
      </c>
      <c r="G18">
        <v>7</v>
      </c>
      <c r="H18">
        <v>8</v>
      </c>
      <c r="I18">
        <v>9</v>
      </c>
      <c r="J18">
        <v>4</v>
      </c>
      <c r="K18">
        <v>2</v>
      </c>
      <c r="L18">
        <v>10</v>
      </c>
      <c r="M18">
        <v>6</v>
      </c>
      <c r="N18">
        <v>5</v>
      </c>
      <c r="O18">
        <v>1</v>
      </c>
      <c r="P18">
        <v>8</v>
      </c>
    </row>
    <row r="19" spans="1:17" x14ac:dyDescent="0.3">
      <c r="A19" s="1">
        <v>4</v>
      </c>
      <c r="B19" t="str">
        <f t="shared" si="1"/>
        <v>mahoms</v>
      </c>
      <c r="C19">
        <v>2</v>
      </c>
      <c r="D19">
        <v>7</v>
      </c>
      <c r="E19">
        <v>10</v>
      </c>
      <c r="F19">
        <v>8</v>
      </c>
      <c r="G19">
        <v>6</v>
      </c>
      <c r="H19">
        <v>9</v>
      </c>
      <c r="I19">
        <v>5</v>
      </c>
      <c r="J19">
        <v>3</v>
      </c>
      <c r="K19">
        <v>1</v>
      </c>
      <c r="L19">
        <v>2</v>
      </c>
      <c r="M19">
        <v>7</v>
      </c>
      <c r="N19">
        <v>10</v>
      </c>
      <c r="O19">
        <v>8</v>
      </c>
      <c r="P19">
        <v>6</v>
      </c>
    </row>
    <row r="20" spans="1:17" x14ac:dyDescent="0.3">
      <c r="A20" s="1">
        <v>5</v>
      </c>
      <c r="B20" t="str">
        <f t="shared" si="1"/>
        <v>Jamara</v>
      </c>
      <c r="C20">
        <v>8</v>
      </c>
      <c r="D20">
        <v>9</v>
      </c>
      <c r="E20">
        <v>3</v>
      </c>
      <c r="F20">
        <v>2</v>
      </c>
      <c r="G20">
        <v>10</v>
      </c>
      <c r="H20">
        <v>6</v>
      </c>
      <c r="I20">
        <v>4</v>
      </c>
      <c r="J20">
        <v>1</v>
      </c>
      <c r="K20">
        <v>7</v>
      </c>
      <c r="L20">
        <v>8</v>
      </c>
      <c r="M20">
        <v>9</v>
      </c>
      <c r="N20">
        <v>3</v>
      </c>
      <c r="O20">
        <v>2</v>
      </c>
      <c r="P20">
        <v>10</v>
      </c>
    </row>
    <row r="21" spans="1:17" x14ac:dyDescent="0.3">
      <c r="A21" s="1">
        <v>6</v>
      </c>
      <c r="B21" t="str">
        <f t="shared" si="1"/>
        <v>johnathan</v>
      </c>
      <c r="C21">
        <v>9</v>
      </c>
      <c r="D21">
        <v>3</v>
      </c>
      <c r="E21">
        <v>2</v>
      </c>
      <c r="F21">
        <v>10</v>
      </c>
      <c r="G21">
        <v>4</v>
      </c>
      <c r="H21">
        <v>5</v>
      </c>
      <c r="I21">
        <v>1</v>
      </c>
      <c r="J21">
        <v>7</v>
      </c>
      <c r="K21">
        <v>8</v>
      </c>
      <c r="L21">
        <v>9</v>
      </c>
      <c r="M21">
        <v>3</v>
      </c>
      <c r="N21">
        <v>2</v>
      </c>
      <c r="O21">
        <v>10</v>
      </c>
      <c r="P21">
        <v>4</v>
      </c>
    </row>
    <row r="22" spans="1:17" x14ac:dyDescent="0.3">
      <c r="A22" s="1">
        <v>7</v>
      </c>
      <c r="B22" t="str">
        <f t="shared" si="1"/>
        <v>chiefs</v>
      </c>
      <c r="C22">
        <v>1</v>
      </c>
      <c r="D22">
        <v>4</v>
      </c>
      <c r="E22">
        <v>8</v>
      </c>
      <c r="F22">
        <v>9</v>
      </c>
      <c r="G22">
        <v>3</v>
      </c>
      <c r="H22">
        <v>2</v>
      </c>
      <c r="I22">
        <v>10</v>
      </c>
      <c r="J22">
        <v>6</v>
      </c>
      <c r="K22">
        <v>5</v>
      </c>
      <c r="L22">
        <v>1</v>
      </c>
      <c r="M22">
        <v>4</v>
      </c>
      <c r="N22">
        <v>8</v>
      </c>
      <c r="O22">
        <v>9</v>
      </c>
      <c r="P22">
        <v>2</v>
      </c>
    </row>
    <row r="23" spans="1:17" x14ac:dyDescent="0.3">
      <c r="A23" s="1">
        <v>8</v>
      </c>
      <c r="B23" t="str">
        <f t="shared" si="1"/>
        <v>HotDog</v>
      </c>
      <c r="C23">
        <v>5</v>
      </c>
      <c r="D23">
        <v>1</v>
      </c>
      <c r="E23">
        <v>7</v>
      </c>
      <c r="F23">
        <v>4</v>
      </c>
      <c r="G23">
        <v>9</v>
      </c>
      <c r="H23">
        <v>3</v>
      </c>
      <c r="I23">
        <v>2</v>
      </c>
      <c r="J23">
        <v>10</v>
      </c>
      <c r="K23">
        <v>6</v>
      </c>
      <c r="L23">
        <v>5</v>
      </c>
      <c r="M23">
        <v>1</v>
      </c>
      <c r="N23">
        <v>7</v>
      </c>
      <c r="O23">
        <v>4</v>
      </c>
      <c r="P23">
        <v>3</v>
      </c>
    </row>
    <row r="24" spans="1:17" x14ac:dyDescent="0.3">
      <c r="A24" s="1">
        <v>9</v>
      </c>
      <c r="B24">
        <f t="shared" si="1"/>
        <v>141</v>
      </c>
      <c r="C24">
        <v>6</v>
      </c>
      <c r="D24">
        <v>5</v>
      </c>
      <c r="E24">
        <v>1</v>
      </c>
      <c r="F24">
        <v>7</v>
      </c>
      <c r="G24">
        <v>8</v>
      </c>
      <c r="H24">
        <v>4</v>
      </c>
      <c r="I24">
        <v>3</v>
      </c>
      <c r="J24">
        <v>2</v>
      </c>
      <c r="K24">
        <v>10</v>
      </c>
      <c r="L24">
        <v>6</v>
      </c>
      <c r="M24">
        <v>5</v>
      </c>
      <c r="N24">
        <v>1</v>
      </c>
      <c r="O24">
        <v>7</v>
      </c>
      <c r="P24">
        <v>1</v>
      </c>
    </row>
    <row r="25" spans="1:17" x14ac:dyDescent="0.3">
      <c r="A25" s="1">
        <v>10</v>
      </c>
      <c r="B25" t="str">
        <f t="shared" si="1"/>
        <v>Brills</v>
      </c>
      <c r="C25">
        <v>3</v>
      </c>
      <c r="D25">
        <v>2</v>
      </c>
      <c r="E25">
        <v>4</v>
      </c>
      <c r="F25">
        <v>6</v>
      </c>
      <c r="G25">
        <v>5</v>
      </c>
      <c r="H25">
        <v>1</v>
      </c>
      <c r="I25">
        <v>7</v>
      </c>
      <c r="J25">
        <v>8</v>
      </c>
      <c r="K25">
        <v>9</v>
      </c>
      <c r="L25">
        <v>3</v>
      </c>
      <c r="M25">
        <v>2</v>
      </c>
      <c r="N25">
        <v>4</v>
      </c>
      <c r="O25">
        <v>6</v>
      </c>
      <c r="P25">
        <v>5</v>
      </c>
    </row>
    <row r="26" spans="1:17" x14ac:dyDescent="0.3">
      <c r="C26" s="1">
        <f>SUM(C16:C25)</f>
        <v>55</v>
      </c>
      <c r="D26" s="1">
        <f t="shared" ref="D26:J26" si="2">SUM(D16:D25)</f>
        <v>55</v>
      </c>
      <c r="E26" s="1">
        <f t="shared" si="2"/>
        <v>55</v>
      </c>
      <c r="F26" s="1">
        <f t="shared" si="2"/>
        <v>55</v>
      </c>
      <c r="G26" s="1">
        <f t="shared" si="2"/>
        <v>55</v>
      </c>
      <c r="H26" s="1">
        <f t="shared" si="2"/>
        <v>55</v>
      </c>
      <c r="I26" s="1">
        <f t="shared" si="2"/>
        <v>55</v>
      </c>
      <c r="J26" s="1">
        <f t="shared" si="2"/>
        <v>55</v>
      </c>
      <c r="K26" s="1">
        <f>SUM(K16:K25)</f>
        <v>55</v>
      </c>
      <c r="L26" s="1">
        <f t="shared" ref="L26" si="3">SUM(L16:L25)</f>
        <v>55</v>
      </c>
      <c r="M26" s="1">
        <f t="shared" ref="M26" si="4">SUM(M16:M25)</f>
        <v>55</v>
      </c>
      <c r="N26" s="1">
        <f t="shared" ref="N26" si="5">SUM(N16:N25)</f>
        <v>55</v>
      </c>
      <c r="O26" s="1">
        <f t="shared" ref="O26" si="6">SUM(O16:O25)</f>
        <v>55</v>
      </c>
      <c r="P26" s="1">
        <f t="shared" ref="P26" si="7">SUM(P16:P25)</f>
        <v>55</v>
      </c>
    </row>
    <row r="28" spans="1:17" x14ac:dyDescent="0.3">
      <c r="B28" t="s">
        <v>5</v>
      </c>
      <c r="C28" s="1">
        <v>3</v>
      </c>
      <c r="D28" s="1">
        <v>4</v>
      </c>
      <c r="E28" s="1">
        <v>5</v>
      </c>
      <c r="F28" s="1">
        <v>6</v>
      </c>
      <c r="G28" s="1">
        <v>7</v>
      </c>
      <c r="H28" s="1">
        <v>8</v>
      </c>
      <c r="I28" s="1">
        <v>9</v>
      </c>
      <c r="J28" s="1">
        <v>10</v>
      </c>
      <c r="K28" s="1">
        <v>11</v>
      </c>
      <c r="L28" s="1">
        <v>12</v>
      </c>
      <c r="M28" s="1">
        <v>13</v>
      </c>
      <c r="N28" s="1">
        <v>14</v>
      </c>
      <c r="O28" s="1">
        <v>15</v>
      </c>
      <c r="P28" s="1">
        <v>16</v>
      </c>
    </row>
    <row r="29" spans="1:17" x14ac:dyDescent="0.3">
      <c r="B29" t="str">
        <f>B2</f>
        <v>Bone</v>
      </c>
      <c r="C29">
        <f>VLOOKUP(C16, $A$2:$P$11, C$28)</f>
        <v>104.88</v>
      </c>
      <c r="D29">
        <f t="shared" ref="D29:P29" si="8">VLOOKUP(D16, $A$2:$P$11, D$28)</f>
        <v>109.1</v>
      </c>
      <c r="E29">
        <f t="shared" si="8"/>
        <v>89.66</v>
      </c>
      <c r="F29">
        <f t="shared" si="8"/>
        <v>102.9</v>
      </c>
      <c r="G29">
        <f t="shared" si="8"/>
        <v>107.58</v>
      </c>
      <c r="H29">
        <f t="shared" si="8"/>
        <v>100.36</v>
      </c>
      <c r="I29">
        <f t="shared" si="8"/>
        <v>114.66</v>
      </c>
      <c r="J29">
        <f t="shared" si="8"/>
        <v>89.02</v>
      </c>
      <c r="K29">
        <f t="shared" si="8"/>
        <v>56.5</v>
      </c>
      <c r="L29">
        <f t="shared" si="8"/>
        <v>148.5</v>
      </c>
      <c r="M29">
        <f t="shared" si="8"/>
        <v>100.52</v>
      </c>
      <c r="N29">
        <f t="shared" si="8"/>
        <v>90.24</v>
      </c>
      <c r="O29">
        <f t="shared" si="8"/>
        <v>114.2</v>
      </c>
      <c r="P29">
        <f t="shared" si="8"/>
        <v>79.680000000000007</v>
      </c>
      <c r="Q29" s="1">
        <f>SUM(C29:P29)</f>
        <v>1407.8000000000002</v>
      </c>
    </row>
    <row r="30" spans="1:17" x14ac:dyDescent="0.3">
      <c r="B30" t="str">
        <f t="shared" ref="B30:B38" si="9">B3</f>
        <v>not last</v>
      </c>
      <c r="C30">
        <f t="shared" ref="C30:P38" si="10">VLOOKUP(C17, $A$2:$P$11, C$28)</f>
        <v>109.02</v>
      </c>
      <c r="D30">
        <f t="shared" si="10"/>
        <v>103.6</v>
      </c>
      <c r="E30">
        <f t="shared" si="10"/>
        <v>114.98</v>
      </c>
      <c r="F30">
        <f t="shared" si="10"/>
        <v>109.36</v>
      </c>
      <c r="G30">
        <f t="shared" si="10"/>
        <v>113.34</v>
      </c>
      <c r="H30">
        <f t="shared" si="10"/>
        <v>126.64</v>
      </c>
      <c r="I30">
        <f t="shared" si="10"/>
        <v>113.64</v>
      </c>
      <c r="J30">
        <f t="shared" si="10"/>
        <v>64.98</v>
      </c>
      <c r="K30">
        <f t="shared" si="10"/>
        <v>98.1</v>
      </c>
      <c r="L30">
        <f t="shared" si="10"/>
        <v>32.4</v>
      </c>
      <c r="M30">
        <f t="shared" si="10"/>
        <v>117.94</v>
      </c>
      <c r="N30">
        <f t="shared" si="10"/>
        <v>68.86</v>
      </c>
      <c r="O30">
        <f t="shared" si="10"/>
        <v>128.72</v>
      </c>
      <c r="P30">
        <f t="shared" si="10"/>
        <v>99.34</v>
      </c>
      <c r="Q30" s="1">
        <f t="shared" ref="Q30:Q38" si="11">SUM(C30:P30)</f>
        <v>1400.9199999999998</v>
      </c>
    </row>
    <row r="31" spans="1:17" x14ac:dyDescent="0.3">
      <c r="B31" t="str">
        <f t="shared" si="9"/>
        <v>Jeanty</v>
      </c>
      <c r="C31">
        <f t="shared" si="10"/>
        <v>80.42</v>
      </c>
      <c r="D31">
        <f t="shared" si="10"/>
        <v>121.86</v>
      </c>
      <c r="E31">
        <f t="shared" si="10"/>
        <v>112.22</v>
      </c>
      <c r="F31">
        <f t="shared" si="10"/>
        <v>112.78</v>
      </c>
      <c r="G31">
        <f t="shared" si="10"/>
        <v>113.06</v>
      </c>
      <c r="H31">
        <f t="shared" si="10"/>
        <v>74.7</v>
      </c>
      <c r="I31">
        <f t="shared" si="10"/>
        <v>119.94</v>
      </c>
      <c r="J31">
        <f t="shared" si="10"/>
        <v>134.06</v>
      </c>
      <c r="K31">
        <f t="shared" si="10"/>
        <v>88.98</v>
      </c>
      <c r="L31">
        <f t="shared" si="10"/>
        <v>100.9</v>
      </c>
      <c r="M31">
        <f t="shared" si="10"/>
        <v>105.56</v>
      </c>
      <c r="N31">
        <f t="shared" si="10"/>
        <v>86.62</v>
      </c>
      <c r="O31">
        <f t="shared" si="10"/>
        <v>72.34</v>
      </c>
      <c r="P31">
        <f t="shared" si="10"/>
        <v>127.56</v>
      </c>
      <c r="Q31" s="1">
        <f t="shared" si="11"/>
        <v>1450.9999999999998</v>
      </c>
    </row>
    <row r="32" spans="1:17" x14ac:dyDescent="0.3">
      <c r="B32" t="str">
        <f t="shared" si="9"/>
        <v>mahoms</v>
      </c>
      <c r="C32">
        <f t="shared" si="10"/>
        <v>94.12</v>
      </c>
      <c r="D32">
        <f t="shared" si="10"/>
        <v>136.04</v>
      </c>
      <c r="E32">
        <f t="shared" si="10"/>
        <v>72.42</v>
      </c>
      <c r="F32">
        <f t="shared" si="10"/>
        <v>115.08</v>
      </c>
      <c r="G32">
        <f t="shared" si="10"/>
        <v>126.68</v>
      </c>
      <c r="H32">
        <f t="shared" si="10"/>
        <v>187.42</v>
      </c>
      <c r="I32">
        <f t="shared" si="10"/>
        <v>104.34</v>
      </c>
      <c r="J32">
        <f t="shared" si="10"/>
        <v>111.56</v>
      </c>
      <c r="K32">
        <f t="shared" si="10"/>
        <v>135.6</v>
      </c>
      <c r="L32">
        <f t="shared" si="10"/>
        <v>121.3</v>
      </c>
      <c r="M32">
        <f t="shared" si="10"/>
        <v>100.1</v>
      </c>
      <c r="N32">
        <f t="shared" si="10"/>
        <v>90.76</v>
      </c>
      <c r="O32">
        <f t="shared" si="10"/>
        <v>94.84</v>
      </c>
      <c r="P32">
        <f t="shared" si="10"/>
        <v>83.36</v>
      </c>
      <c r="Q32" s="1">
        <f t="shared" si="11"/>
        <v>1573.6199999999994</v>
      </c>
    </row>
    <row r="33" spans="2:17" x14ac:dyDescent="0.3">
      <c r="B33" t="str">
        <f t="shared" si="9"/>
        <v>Jamara</v>
      </c>
      <c r="C33">
        <f t="shared" si="10"/>
        <v>111.76</v>
      </c>
      <c r="D33">
        <f t="shared" si="10"/>
        <v>101.8</v>
      </c>
      <c r="E33">
        <f t="shared" si="10"/>
        <v>154.04</v>
      </c>
      <c r="F33">
        <f t="shared" si="10"/>
        <v>81.28</v>
      </c>
      <c r="G33">
        <f t="shared" si="10"/>
        <v>106.74</v>
      </c>
      <c r="H33">
        <f t="shared" si="10"/>
        <v>88.66</v>
      </c>
      <c r="I33">
        <f t="shared" si="10"/>
        <v>100.14</v>
      </c>
      <c r="J33">
        <f t="shared" si="10"/>
        <v>136.38</v>
      </c>
      <c r="K33">
        <f t="shared" si="10"/>
        <v>102.84</v>
      </c>
      <c r="L33">
        <f t="shared" si="10"/>
        <v>107.04</v>
      </c>
      <c r="M33">
        <f t="shared" si="10"/>
        <v>145.12</v>
      </c>
      <c r="N33">
        <f t="shared" si="10"/>
        <v>144.36000000000001</v>
      </c>
      <c r="O33">
        <f t="shared" si="10"/>
        <v>92.14</v>
      </c>
      <c r="P33">
        <f t="shared" si="10"/>
        <v>94.42</v>
      </c>
      <c r="Q33" s="1">
        <f t="shared" si="11"/>
        <v>1566.7200000000005</v>
      </c>
    </row>
    <row r="34" spans="2:17" x14ac:dyDescent="0.3">
      <c r="B34" t="str">
        <f t="shared" si="9"/>
        <v>johnathan</v>
      </c>
      <c r="C34">
        <f t="shared" si="10"/>
        <v>112.82</v>
      </c>
      <c r="D34">
        <f t="shared" si="10"/>
        <v>95.64</v>
      </c>
      <c r="E34">
        <f t="shared" si="10"/>
        <v>97.52</v>
      </c>
      <c r="F34">
        <f t="shared" si="10"/>
        <v>92.02</v>
      </c>
      <c r="G34">
        <f t="shared" si="10"/>
        <v>139.04</v>
      </c>
      <c r="H34">
        <f t="shared" si="10"/>
        <v>74.3</v>
      </c>
      <c r="I34">
        <f t="shared" si="10"/>
        <v>85.72</v>
      </c>
      <c r="J34">
        <f t="shared" si="10"/>
        <v>182.78</v>
      </c>
      <c r="K34">
        <f t="shared" si="10"/>
        <v>99.46</v>
      </c>
      <c r="L34">
        <f t="shared" si="10"/>
        <v>82.2</v>
      </c>
      <c r="M34">
        <f t="shared" si="10"/>
        <v>75.3</v>
      </c>
      <c r="N34">
        <f t="shared" si="10"/>
        <v>136.78</v>
      </c>
      <c r="O34">
        <f t="shared" si="10"/>
        <v>123.98</v>
      </c>
      <c r="P34">
        <f t="shared" si="10"/>
        <v>54.4</v>
      </c>
      <c r="Q34" s="1">
        <f t="shared" si="11"/>
        <v>1451.96</v>
      </c>
    </row>
    <row r="35" spans="2:17" x14ac:dyDescent="0.3">
      <c r="B35" t="str">
        <f t="shared" si="9"/>
        <v>chiefs</v>
      </c>
      <c r="C35">
        <f t="shared" si="10"/>
        <v>91.28</v>
      </c>
      <c r="D35">
        <f t="shared" si="10"/>
        <v>89.98</v>
      </c>
      <c r="E35">
        <f t="shared" si="10"/>
        <v>113.12</v>
      </c>
      <c r="F35">
        <f t="shared" si="10"/>
        <v>129.9</v>
      </c>
      <c r="G35">
        <f t="shared" si="10"/>
        <v>87.4</v>
      </c>
      <c r="H35">
        <f t="shared" si="10"/>
        <v>68.180000000000007</v>
      </c>
      <c r="I35">
        <f t="shared" si="10"/>
        <v>104.14</v>
      </c>
      <c r="J35">
        <f t="shared" si="10"/>
        <v>138.91999999999999</v>
      </c>
      <c r="K35">
        <f t="shared" si="10"/>
        <v>113.32</v>
      </c>
      <c r="L35">
        <f t="shared" si="10"/>
        <v>88.8</v>
      </c>
      <c r="M35">
        <f t="shared" si="10"/>
        <v>48.94</v>
      </c>
      <c r="N35">
        <f t="shared" si="10"/>
        <v>88.72</v>
      </c>
      <c r="O35">
        <f t="shared" si="10"/>
        <v>125.84</v>
      </c>
      <c r="P35">
        <f t="shared" si="10"/>
        <v>109.9</v>
      </c>
      <c r="Q35" s="1">
        <f t="shared" si="11"/>
        <v>1398.4399999999998</v>
      </c>
    </row>
    <row r="36" spans="2:17" x14ac:dyDescent="0.3">
      <c r="B36" t="str">
        <f t="shared" si="9"/>
        <v>HotDog</v>
      </c>
      <c r="C36">
        <f t="shared" si="10"/>
        <v>89.96</v>
      </c>
      <c r="D36">
        <f t="shared" si="10"/>
        <v>138.68</v>
      </c>
      <c r="E36">
        <f t="shared" si="10"/>
        <v>80.58</v>
      </c>
      <c r="F36">
        <f t="shared" si="10"/>
        <v>90.9</v>
      </c>
      <c r="G36">
        <f t="shared" si="10"/>
        <v>95.2</v>
      </c>
      <c r="H36">
        <f t="shared" si="10"/>
        <v>80.52</v>
      </c>
      <c r="I36">
        <f t="shared" si="10"/>
        <v>129.62</v>
      </c>
      <c r="J36">
        <f t="shared" si="10"/>
        <v>113.88</v>
      </c>
      <c r="K36">
        <f t="shared" si="10"/>
        <v>81.239999999999995</v>
      </c>
      <c r="L36">
        <f t="shared" si="10"/>
        <v>91.44</v>
      </c>
      <c r="M36">
        <f t="shared" si="10"/>
        <v>77.34</v>
      </c>
      <c r="N36">
        <f t="shared" si="10"/>
        <v>112.72</v>
      </c>
      <c r="O36">
        <f t="shared" si="10"/>
        <v>64.040000000000006</v>
      </c>
      <c r="P36">
        <f t="shared" si="10"/>
        <v>80.8</v>
      </c>
      <c r="Q36" s="1">
        <f t="shared" si="11"/>
        <v>1326.9199999999998</v>
      </c>
    </row>
    <row r="37" spans="2:17" x14ac:dyDescent="0.3">
      <c r="B37">
        <f t="shared" si="9"/>
        <v>141</v>
      </c>
      <c r="C37">
        <f t="shared" si="10"/>
        <v>112.82</v>
      </c>
      <c r="D37">
        <f t="shared" si="10"/>
        <v>117.82</v>
      </c>
      <c r="E37">
        <f t="shared" si="10"/>
        <v>104.42</v>
      </c>
      <c r="F37">
        <f t="shared" si="10"/>
        <v>143.96</v>
      </c>
      <c r="G37">
        <f t="shared" si="10"/>
        <v>123.82</v>
      </c>
      <c r="H37">
        <f t="shared" si="10"/>
        <v>119.58</v>
      </c>
      <c r="I37">
        <f t="shared" si="10"/>
        <v>125.54</v>
      </c>
      <c r="J37">
        <f t="shared" si="10"/>
        <v>105.38</v>
      </c>
      <c r="K37">
        <f t="shared" si="10"/>
        <v>119.16</v>
      </c>
      <c r="L37">
        <f t="shared" si="10"/>
        <v>150.38</v>
      </c>
      <c r="M37">
        <f t="shared" si="10"/>
        <v>105.98</v>
      </c>
      <c r="N37">
        <f t="shared" si="10"/>
        <v>115.16</v>
      </c>
      <c r="O37">
        <f t="shared" si="10"/>
        <v>92.62</v>
      </c>
      <c r="P37">
        <f t="shared" si="10"/>
        <v>119.34</v>
      </c>
      <c r="Q37" s="1">
        <f t="shared" si="11"/>
        <v>1655.9800000000002</v>
      </c>
    </row>
    <row r="38" spans="2:17" x14ac:dyDescent="0.3">
      <c r="B38" t="str">
        <f t="shared" si="9"/>
        <v>Brills</v>
      </c>
      <c r="C38">
        <f t="shared" si="10"/>
        <v>70.98</v>
      </c>
      <c r="D38">
        <f t="shared" si="10"/>
        <v>77.94</v>
      </c>
      <c r="E38">
        <f t="shared" si="10"/>
        <v>130.66</v>
      </c>
      <c r="F38">
        <f t="shared" si="10"/>
        <v>109.22</v>
      </c>
      <c r="G38">
        <f t="shared" si="10"/>
        <v>110.82</v>
      </c>
      <c r="H38">
        <f t="shared" si="10"/>
        <v>97.56</v>
      </c>
      <c r="I38">
        <f t="shared" si="10"/>
        <v>98.68</v>
      </c>
      <c r="J38">
        <f t="shared" si="10"/>
        <v>100.46</v>
      </c>
      <c r="K38">
        <f t="shared" si="10"/>
        <v>137.6</v>
      </c>
      <c r="L38">
        <f t="shared" si="10"/>
        <v>85.82</v>
      </c>
      <c r="M38">
        <f t="shared" si="10"/>
        <v>95.02</v>
      </c>
      <c r="N38">
        <f t="shared" si="10"/>
        <v>51.38</v>
      </c>
      <c r="O38">
        <f t="shared" si="10"/>
        <v>77.84</v>
      </c>
      <c r="P38">
        <f t="shared" si="10"/>
        <v>110.64</v>
      </c>
      <c r="Q38" s="1">
        <f t="shared" si="11"/>
        <v>1354.6200000000003</v>
      </c>
    </row>
    <row r="41" spans="2:17" x14ac:dyDescent="0.3">
      <c r="B41" t="s">
        <v>6</v>
      </c>
    </row>
    <row r="42" spans="2:17" x14ac:dyDescent="0.3">
      <c r="B42" t="str">
        <f>B2</f>
        <v>Bone</v>
      </c>
      <c r="C42">
        <f>IF(C2&gt;C29,1,IF(C2=C29,0.5,0))</f>
        <v>0</v>
      </c>
      <c r="D42">
        <f t="shared" ref="D42:P42" si="12">IF(D2&gt;D29,1,IF(D2=D29,0.5,0))</f>
        <v>1</v>
      </c>
      <c r="E42">
        <f t="shared" si="12"/>
        <v>1</v>
      </c>
      <c r="F42">
        <f t="shared" si="12"/>
        <v>1</v>
      </c>
      <c r="G42">
        <f t="shared" si="12"/>
        <v>1</v>
      </c>
      <c r="H42">
        <f t="shared" si="12"/>
        <v>0</v>
      </c>
      <c r="I42">
        <f t="shared" si="12"/>
        <v>0</v>
      </c>
      <c r="J42">
        <f t="shared" si="12"/>
        <v>1</v>
      </c>
      <c r="K42">
        <f t="shared" si="12"/>
        <v>1</v>
      </c>
      <c r="L42">
        <f t="shared" si="12"/>
        <v>0</v>
      </c>
      <c r="M42">
        <f t="shared" si="12"/>
        <v>0</v>
      </c>
      <c r="N42">
        <f t="shared" si="12"/>
        <v>1</v>
      </c>
      <c r="O42">
        <f t="shared" si="12"/>
        <v>0</v>
      </c>
      <c r="P42">
        <f t="shared" si="12"/>
        <v>1</v>
      </c>
    </row>
    <row r="43" spans="2:17" x14ac:dyDescent="0.3">
      <c r="B43" t="str">
        <f t="shared" ref="B43:B51" si="13">B3</f>
        <v>not last</v>
      </c>
      <c r="C43">
        <f t="shared" ref="C43:P51" si="14">IF(C3&gt;C30,1,IF(C3=C30,0.5,0))</f>
        <v>0</v>
      </c>
      <c r="D43">
        <f t="shared" si="14"/>
        <v>0</v>
      </c>
      <c r="E43">
        <f t="shared" si="14"/>
        <v>0</v>
      </c>
      <c r="F43">
        <f t="shared" si="14"/>
        <v>0</v>
      </c>
      <c r="G43">
        <f t="shared" si="14"/>
        <v>0</v>
      </c>
      <c r="H43">
        <f t="shared" si="14"/>
        <v>0</v>
      </c>
      <c r="I43">
        <f t="shared" si="14"/>
        <v>1</v>
      </c>
      <c r="J43">
        <f t="shared" si="14"/>
        <v>1</v>
      </c>
      <c r="K43">
        <f t="shared" si="14"/>
        <v>0</v>
      </c>
      <c r="L43">
        <f t="shared" si="14"/>
        <v>1</v>
      </c>
      <c r="M43">
        <f t="shared" si="14"/>
        <v>0</v>
      </c>
      <c r="N43">
        <f t="shared" si="14"/>
        <v>1</v>
      </c>
      <c r="O43">
        <f t="shared" si="14"/>
        <v>0</v>
      </c>
      <c r="P43">
        <f t="shared" si="14"/>
        <v>1</v>
      </c>
    </row>
    <row r="44" spans="2:17" x14ac:dyDescent="0.3">
      <c r="B44" t="str">
        <f t="shared" si="13"/>
        <v>Jeanty</v>
      </c>
      <c r="C44">
        <f t="shared" si="14"/>
        <v>0</v>
      </c>
      <c r="D44">
        <f t="shared" si="14"/>
        <v>0</v>
      </c>
      <c r="E44">
        <f t="shared" si="14"/>
        <v>1</v>
      </c>
      <c r="F44">
        <f t="shared" si="14"/>
        <v>0</v>
      </c>
      <c r="G44">
        <f t="shared" si="14"/>
        <v>0</v>
      </c>
      <c r="H44">
        <f t="shared" si="14"/>
        <v>1</v>
      </c>
      <c r="I44">
        <f t="shared" si="14"/>
        <v>1</v>
      </c>
      <c r="J44">
        <f t="shared" si="14"/>
        <v>0</v>
      </c>
      <c r="K44">
        <f t="shared" si="14"/>
        <v>1</v>
      </c>
      <c r="L44">
        <f t="shared" si="14"/>
        <v>0</v>
      </c>
      <c r="M44">
        <f t="shared" si="14"/>
        <v>0</v>
      </c>
      <c r="N44">
        <f t="shared" si="14"/>
        <v>1</v>
      </c>
      <c r="O44">
        <f t="shared" si="14"/>
        <v>1</v>
      </c>
      <c r="P44">
        <f t="shared" si="14"/>
        <v>0</v>
      </c>
    </row>
    <row r="45" spans="2:17" x14ac:dyDescent="0.3">
      <c r="B45" t="str">
        <f t="shared" si="13"/>
        <v>mahoms</v>
      </c>
      <c r="C45">
        <f t="shared" si="14"/>
        <v>1</v>
      </c>
      <c r="D45">
        <f t="shared" si="14"/>
        <v>0</v>
      </c>
      <c r="E45">
        <f t="shared" si="14"/>
        <v>1</v>
      </c>
      <c r="F45">
        <f t="shared" si="14"/>
        <v>0</v>
      </c>
      <c r="G45">
        <f t="shared" si="14"/>
        <v>1</v>
      </c>
      <c r="H45">
        <f t="shared" si="14"/>
        <v>0</v>
      </c>
      <c r="I45">
        <f t="shared" si="14"/>
        <v>0</v>
      </c>
      <c r="J45">
        <f t="shared" si="14"/>
        <v>1</v>
      </c>
      <c r="K45">
        <f t="shared" si="14"/>
        <v>0</v>
      </c>
      <c r="L45">
        <f t="shared" si="14"/>
        <v>0</v>
      </c>
      <c r="M45">
        <f t="shared" si="14"/>
        <v>0</v>
      </c>
      <c r="N45">
        <f t="shared" si="14"/>
        <v>0</v>
      </c>
      <c r="O45">
        <f t="shared" si="14"/>
        <v>0</v>
      </c>
      <c r="P45">
        <f t="shared" si="14"/>
        <v>0</v>
      </c>
    </row>
    <row r="46" spans="2:17" x14ac:dyDescent="0.3">
      <c r="B46" t="str">
        <f t="shared" si="13"/>
        <v>Jamara</v>
      </c>
      <c r="C46">
        <f t="shared" si="14"/>
        <v>0</v>
      </c>
      <c r="D46">
        <f t="shared" si="14"/>
        <v>1</v>
      </c>
      <c r="E46">
        <f t="shared" si="14"/>
        <v>0</v>
      </c>
      <c r="F46">
        <f t="shared" si="14"/>
        <v>1</v>
      </c>
      <c r="G46">
        <f t="shared" si="14"/>
        <v>1</v>
      </c>
      <c r="H46">
        <f t="shared" si="14"/>
        <v>0</v>
      </c>
      <c r="I46">
        <f t="shared" si="14"/>
        <v>1</v>
      </c>
      <c r="J46">
        <f t="shared" si="14"/>
        <v>0</v>
      </c>
      <c r="K46">
        <f t="shared" si="14"/>
        <v>1</v>
      </c>
      <c r="L46">
        <f t="shared" si="14"/>
        <v>0</v>
      </c>
      <c r="M46">
        <f t="shared" si="14"/>
        <v>0</v>
      </c>
      <c r="N46">
        <f t="shared" si="14"/>
        <v>0</v>
      </c>
      <c r="O46">
        <f t="shared" si="14"/>
        <v>1</v>
      </c>
      <c r="P46">
        <f t="shared" si="14"/>
        <v>1</v>
      </c>
    </row>
    <row r="47" spans="2:17" x14ac:dyDescent="0.3">
      <c r="B47" t="str">
        <f t="shared" si="13"/>
        <v>johnathan</v>
      </c>
      <c r="C47">
        <f t="shared" si="14"/>
        <v>0.5</v>
      </c>
      <c r="D47">
        <f t="shared" si="14"/>
        <v>1</v>
      </c>
      <c r="E47">
        <f t="shared" si="14"/>
        <v>1</v>
      </c>
      <c r="F47">
        <f t="shared" si="14"/>
        <v>1</v>
      </c>
      <c r="G47">
        <f t="shared" si="14"/>
        <v>0</v>
      </c>
      <c r="H47">
        <f t="shared" si="14"/>
        <v>1</v>
      </c>
      <c r="I47">
        <f t="shared" si="14"/>
        <v>1</v>
      </c>
      <c r="J47">
        <f t="shared" si="14"/>
        <v>0</v>
      </c>
      <c r="K47">
        <f t="shared" si="14"/>
        <v>0</v>
      </c>
      <c r="L47">
        <f t="shared" si="14"/>
        <v>1</v>
      </c>
      <c r="M47">
        <f t="shared" si="14"/>
        <v>1</v>
      </c>
      <c r="N47">
        <f t="shared" si="14"/>
        <v>0</v>
      </c>
      <c r="O47">
        <f t="shared" si="14"/>
        <v>0</v>
      </c>
      <c r="P47">
        <f t="shared" si="14"/>
        <v>1</v>
      </c>
    </row>
    <row r="48" spans="2:17" x14ac:dyDescent="0.3">
      <c r="B48" t="str">
        <f t="shared" si="13"/>
        <v>chiefs</v>
      </c>
      <c r="C48">
        <f t="shared" si="14"/>
        <v>1</v>
      </c>
      <c r="D48">
        <f t="shared" si="14"/>
        <v>1</v>
      </c>
      <c r="E48">
        <f t="shared" si="14"/>
        <v>0</v>
      </c>
      <c r="F48">
        <f t="shared" si="14"/>
        <v>1</v>
      </c>
      <c r="G48">
        <f t="shared" si="14"/>
        <v>1</v>
      </c>
      <c r="H48">
        <f t="shared" si="14"/>
        <v>1</v>
      </c>
      <c r="I48">
        <f t="shared" si="14"/>
        <v>0</v>
      </c>
      <c r="J48">
        <f t="shared" si="14"/>
        <v>1</v>
      </c>
      <c r="K48">
        <f t="shared" si="14"/>
        <v>0</v>
      </c>
      <c r="L48">
        <f t="shared" si="14"/>
        <v>1</v>
      </c>
      <c r="M48">
        <f t="shared" si="14"/>
        <v>1</v>
      </c>
      <c r="N48">
        <f t="shared" si="14"/>
        <v>1</v>
      </c>
      <c r="O48">
        <f t="shared" si="14"/>
        <v>0</v>
      </c>
      <c r="P48">
        <f t="shared" si="14"/>
        <v>0</v>
      </c>
    </row>
    <row r="49" spans="2:16" x14ac:dyDescent="0.3">
      <c r="B49" t="str">
        <f t="shared" si="13"/>
        <v>HotDog</v>
      </c>
      <c r="C49">
        <f t="shared" si="14"/>
        <v>1</v>
      </c>
      <c r="D49">
        <f t="shared" si="14"/>
        <v>0</v>
      </c>
      <c r="E49">
        <f t="shared" si="14"/>
        <v>1</v>
      </c>
      <c r="F49">
        <f t="shared" si="14"/>
        <v>1</v>
      </c>
      <c r="G49">
        <f t="shared" si="14"/>
        <v>1</v>
      </c>
      <c r="H49">
        <f t="shared" si="14"/>
        <v>0</v>
      </c>
      <c r="I49">
        <f t="shared" si="14"/>
        <v>0</v>
      </c>
      <c r="J49">
        <f t="shared" si="14"/>
        <v>0</v>
      </c>
      <c r="K49">
        <f t="shared" si="14"/>
        <v>1</v>
      </c>
      <c r="L49">
        <f t="shared" si="14"/>
        <v>1</v>
      </c>
      <c r="M49">
        <f t="shared" si="14"/>
        <v>1</v>
      </c>
      <c r="N49">
        <f t="shared" si="14"/>
        <v>0</v>
      </c>
      <c r="O49">
        <f t="shared" si="14"/>
        <v>1</v>
      </c>
      <c r="P49">
        <f t="shared" si="14"/>
        <v>1</v>
      </c>
    </row>
    <row r="50" spans="2:16" x14ac:dyDescent="0.3">
      <c r="B50">
        <f t="shared" si="13"/>
        <v>141</v>
      </c>
      <c r="C50">
        <f t="shared" si="14"/>
        <v>0.5</v>
      </c>
      <c r="D50">
        <f t="shared" si="14"/>
        <v>0</v>
      </c>
      <c r="E50">
        <f t="shared" si="14"/>
        <v>0</v>
      </c>
      <c r="F50">
        <f t="shared" si="14"/>
        <v>0</v>
      </c>
      <c r="G50">
        <f t="shared" si="14"/>
        <v>0</v>
      </c>
      <c r="H50">
        <f t="shared" si="14"/>
        <v>1</v>
      </c>
      <c r="I50">
        <f t="shared" si="14"/>
        <v>0</v>
      </c>
      <c r="J50">
        <f t="shared" si="14"/>
        <v>0</v>
      </c>
      <c r="K50">
        <f t="shared" si="14"/>
        <v>1</v>
      </c>
      <c r="L50">
        <f t="shared" si="14"/>
        <v>0</v>
      </c>
      <c r="M50">
        <f t="shared" si="14"/>
        <v>1</v>
      </c>
      <c r="N50">
        <f t="shared" si="14"/>
        <v>0</v>
      </c>
      <c r="O50">
        <f t="shared" si="14"/>
        <v>1</v>
      </c>
      <c r="P50">
        <f t="shared" si="14"/>
        <v>0</v>
      </c>
    </row>
    <row r="51" spans="2:16" x14ac:dyDescent="0.3">
      <c r="B51" t="str">
        <f t="shared" si="13"/>
        <v>Brills</v>
      </c>
      <c r="C51">
        <f t="shared" si="14"/>
        <v>1</v>
      </c>
      <c r="D51">
        <f t="shared" si="14"/>
        <v>1</v>
      </c>
      <c r="E51">
        <f t="shared" si="14"/>
        <v>0</v>
      </c>
      <c r="F51">
        <f t="shared" si="14"/>
        <v>0</v>
      </c>
      <c r="G51">
        <f t="shared" si="14"/>
        <v>0</v>
      </c>
      <c r="H51">
        <f t="shared" si="14"/>
        <v>1</v>
      </c>
      <c r="I51">
        <f t="shared" si="14"/>
        <v>1</v>
      </c>
      <c r="J51">
        <f t="shared" si="14"/>
        <v>1</v>
      </c>
      <c r="K51">
        <f t="shared" si="14"/>
        <v>0</v>
      </c>
      <c r="L51">
        <f t="shared" si="14"/>
        <v>1</v>
      </c>
      <c r="M51">
        <f t="shared" si="14"/>
        <v>1</v>
      </c>
      <c r="N51">
        <f t="shared" si="14"/>
        <v>1</v>
      </c>
      <c r="O51">
        <f t="shared" si="14"/>
        <v>1</v>
      </c>
      <c r="P51">
        <f t="shared" si="14"/>
        <v>0</v>
      </c>
    </row>
    <row r="53" spans="2:16" x14ac:dyDescent="0.3">
      <c r="B53" t="s">
        <v>7</v>
      </c>
    </row>
    <row r="54" spans="2:16" x14ac:dyDescent="0.3">
      <c r="B54" t="str">
        <f>B2</f>
        <v>Bone</v>
      </c>
      <c r="C54">
        <f>C42</f>
        <v>0</v>
      </c>
      <c r="D54">
        <f>C54+D42</f>
        <v>1</v>
      </c>
      <c r="E54">
        <f t="shared" ref="E54:P54" si="15">D54+E42</f>
        <v>2</v>
      </c>
      <c r="F54">
        <f t="shared" si="15"/>
        <v>3</v>
      </c>
      <c r="G54">
        <f t="shared" si="15"/>
        <v>4</v>
      </c>
      <c r="H54">
        <f t="shared" si="15"/>
        <v>4</v>
      </c>
      <c r="I54">
        <f t="shared" si="15"/>
        <v>4</v>
      </c>
      <c r="J54">
        <f t="shared" si="15"/>
        <v>5</v>
      </c>
      <c r="K54">
        <f t="shared" si="15"/>
        <v>6</v>
      </c>
      <c r="L54">
        <f t="shared" si="15"/>
        <v>6</v>
      </c>
      <c r="M54">
        <f t="shared" si="15"/>
        <v>6</v>
      </c>
      <c r="N54">
        <f t="shared" si="15"/>
        <v>7</v>
      </c>
      <c r="O54">
        <f t="shared" si="15"/>
        <v>7</v>
      </c>
      <c r="P54">
        <f t="shared" si="15"/>
        <v>8</v>
      </c>
    </row>
    <row r="55" spans="2:16" x14ac:dyDescent="0.3">
      <c r="B55" t="str">
        <f t="shared" ref="B55:B63" si="16">B3</f>
        <v>not last</v>
      </c>
      <c r="C55">
        <f t="shared" ref="C55:C63" si="17">C43</f>
        <v>0</v>
      </c>
      <c r="D55">
        <f t="shared" ref="D55:P63" si="18">C55+D43</f>
        <v>0</v>
      </c>
      <c r="E55">
        <f t="shared" si="18"/>
        <v>0</v>
      </c>
      <c r="F55">
        <f t="shared" si="18"/>
        <v>0</v>
      </c>
      <c r="G55">
        <f t="shared" si="18"/>
        <v>0</v>
      </c>
      <c r="H55">
        <f t="shared" si="18"/>
        <v>0</v>
      </c>
      <c r="I55">
        <f t="shared" si="18"/>
        <v>1</v>
      </c>
      <c r="J55">
        <f t="shared" si="18"/>
        <v>2</v>
      </c>
      <c r="K55">
        <f t="shared" si="18"/>
        <v>2</v>
      </c>
      <c r="L55">
        <f t="shared" si="18"/>
        <v>3</v>
      </c>
      <c r="M55">
        <f t="shared" si="18"/>
        <v>3</v>
      </c>
      <c r="N55">
        <f t="shared" si="18"/>
        <v>4</v>
      </c>
      <c r="O55">
        <f t="shared" si="18"/>
        <v>4</v>
      </c>
      <c r="P55">
        <f t="shared" si="18"/>
        <v>5</v>
      </c>
    </row>
    <row r="56" spans="2:16" x14ac:dyDescent="0.3">
      <c r="B56" t="str">
        <f t="shared" si="16"/>
        <v>Jeanty</v>
      </c>
      <c r="C56">
        <f t="shared" si="17"/>
        <v>0</v>
      </c>
      <c r="D56">
        <f t="shared" si="18"/>
        <v>0</v>
      </c>
      <c r="E56">
        <f t="shared" si="18"/>
        <v>1</v>
      </c>
      <c r="F56">
        <f t="shared" si="18"/>
        <v>1</v>
      </c>
      <c r="G56">
        <f t="shared" si="18"/>
        <v>1</v>
      </c>
      <c r="H56">
        <f t="shared" si="18"/>
        <v>2</v>
      </c>
      <c r="I56">
        <f t="shared" si="18"/>
        <v>3</v>
      </c>
      <c r="J56">
        <f t="shared" si="18"/>
        <v>3</v>
      </c>
      <c r="K56">
        <f t="shared" si="18"/>
        <v>4</v>
      </c>
      <c r="L56">
        <f t="shared" si="18"/>
        <v>4</v>
      </c>
      <c r="M56">
        <f t="shared" si="18"/>
        <v>4</v>
      </c>
      <c r="N56">
        <f t="shared" si="18"/>
        <v>5</v>
      </c>
      <c r="O56">
        <f t="shared" si="18"/>
        <v>6</v>
      </c>
      <c r="P56">
        <f t="shared" si="18"/>
        <v>6</v>
      </c>
    </row>
    <row r="57" spans="2:16" x14ac:dyDescent="0.3">
      <c r="B57" t="str">
        <f t="shared" si="16"/>
        <v>mahoms</v>
      </c>
      <c r="C57">
        <f t="shared" si="17"/>
        <v>1</v>
      </c>
      <c r="D57">
        <f t="shared" si="18"/>
        <v>1</v>
      </c>
      <c r="E57">
        <f t="shared" si="18"/>
        <v>2</v>
      </c>
      <c r="F57">
        <f t="shared" si="18"/>
        <v>2</v>
      </c>
      <c r="G57">
        <f t="shared" si="18"/>
        <v>3</v>
      </c>
      <c r="H57">
        <f t="shared" si="18"/>
        <v>3</v>
      </c>
      <c r="I57">
        <f t="shared" si="18"/>
        <v>3</v>
      </c>
      <c r="J57">
        <f t="shared" si="18"/>
        <v>4</v>
      </c>
      <c r="K57">
        <f t="shared" si="18"/>
        <v>4</v>
      </c>
      <c r="L57">
        <f t="shared" si="18"/>
        <v>4</v>
      </c>
      <c r="M57">
        <f t="shared" si="18"/>
        <v>4</v>
      </c>
      <c r="N57">
        <f t="shared" si="18"/>
        <v>4</v>
      </c>
      <c r="O57">
        <f t="shared" si="18"/>
        <v>4</v>
      </c>
      <c r="P57">
        <f t="shared" si="18"/>
        <v>4</v>
      </c>
    </row>
    <row r="58" spans="2:16" x14ac:dyDescent="0.3">
      <c r="B58" t="str">
        <f t="shared" si="16"/>
        <v>Jamara</v>
      </c>
      <c r="C58">
        <f t="shared" si="17"/>
        <v>0</v>
      </c>
      <c r="D58">
        <f t="shared" si="18"/>
        <v>1</v>
      </c>
      <c r="E58">
        <f t="shared" si="18"/>
        <v>1</v>
      </c>
      <c r="F58">
        <f t="shared" si="18"/>
        <v>2</v>
      </c>
      <c r="G58">
        <f t="shared" si="18"/>
        <v>3</v>
      </c>
      <c r="H58">
        <f t="shared" si="18"/>
        <v>3</v>
      </c>
      <c r="I58">
        <f t="shared" si="18"/>
        <v>4</v>
      </c>
      <c r="J58">
        <f t="shared" si="18"/>
        <v>4</v>
      </c>
      <c r="K58">
        <f t="shared" si="18"/>
        <v>5</v>
      </c>
      <c r="L58">
        <f t="shared" si="18"/>
        <v>5</v>
      </c>
      <c r="M58">
        <f t="shared" si="18"/>
        <v>5</v>
      </c>
      <c r="N58">
        <f t="shared" si="18"/>
        <v>5</v>
      </c>
      <c r="O58">
        <f t="shared" si="18"/>
        <v>6</v>
      </c>
      <c r="P58">
        <f t="shared" si="18"/>
        <v>7</v>
      </c>
    </row>
    <row r="59" spans="2:16" x14ac:dyDescent="0.3">
      <c r="B59" t="str">
        <f t="shared" si="16"/>
        <v>johnathan</v>
      </c>
      <c r="C59">
        <f t="shared" si="17"/>
        <v>0.5</v>
      </c>
      <c r="D59">
        <f t="shared" si="18"/>
        <v>1.5</v>
      </c>
      <c r="E59">
        <f t="shared" si="18"/>
        <v>2.5</v>
      </c>
      <c r="F59">
        <f t="shared" si="18"/>
        <v>3.5</v>
      </c>
      <c r="G59">
        <f t="shared" si="18"/>
        <v>3.5</v>
      </c>
      <c r="H59">
        <f t="shared" si="18"/>
        <v>4.5</v>
      </c>
      <c r="I59">
        <f t="shared" si="18"/>
        <v>5.5</v>
      </c>
      <c r="J59">
        <f t="shared" si="18"/>
        <v>5.5</v>
      </c>
      <c r="K59">
        <f t="shared" si="18"/>
        <v>5.5</v>
      </c>
      <c r="L59">
        <f t="shared" si="18"/>
        <v>6.5</v>
      </c>
      <c r="M59">
        <f t="shared" si="18"/>
        <v>7.5</v>
      </c>
      <c r="N59">
        <f t="shared" si="18"/>
        <v>7.5</v>
      </c>
      <c r="O59">
        <f t="shared" si="18"/>
        <v>7.5</v>
      </c>
      <c r="P59">
        <f t="shared" si="18"/>
        <v>8.5</v>
      </c>
    </row>
    <row r="60" spans="2:16" x14ac:dyDescent="0.3">
      <c r="B60" t="str">
        <f t="shared" si="16"/>
        <v>chiefs</v>
      </c>
      <c r="C60">
        <f t="shared" si="17"/>
        <v>1</v>
      </c>
      <c r="D60">
        <f t="shared" si="18"/>
        <v>2</v>
      </c>
      <c r="E60">
        <f t="shared" si="18"/>
        <v>2</v>
      </c>
      <c r="F60">
        <f t="shared" si="18"/>
        <v>3</v>
      </c>
      <c r="G60">
        <f t="shared" si="18"/>
        <v>4</v>
      </c>
      <c r="H60">
        <f t="shared" si="18"/>
        <v>5</v>
      </c>
      <c r="I60">
        <f t="shared" si="18"/>
        <v>5</v>
      </c>
      <c r="J60">
        <f t="shared" si="18"/>
        <v>6</v>
      </c>
      <c r="K60">
        <f t="shared" si="18"/>
        <v>6</v>
      </c>
      <c r="L60">
        <f t="shared" si="18"/>
        <v>7</v>
      </c>
      <c r="M60">
        <f t="shared" si="18"/>
        <v>8</v>
      </c>
      <c r="N60">
        <f t="shared" si="18"/>
        <v>9</v>
      </c>
      <c r="O60">
        <f t="shared" si="18"/>
        <v>9</v>
      </c>
      <c r="P60">
        <f t="shared" si="18"/>
        <v>9</v>
      </c>
    </row>
    <row r="61" spans="2:16" x14ac:dyDescent="0.3">
      <c r="B61" t="str">
        <f t="shared" si="16"/>
        <v>HotDog</v>
      </c>
      <c r="C61">
        <f t="shared" si="17"/>
        <v>1</v>
      </c>
      <c r="D61">
        <f t="shared" si="18"/>
        <v>1</v>
      </c>
      <c r="E61">
        <f t="shared" si="18"/>
        <v>2</v>
      </c>
      <c r="F61">
        <f t="shared" si="18"/>
        <v>3</v>
      </c>
      <c r="G61">
        <f t="shared" si="18"/>
        <v>4</v>
      </c>
      <c r="H61">
        <f t="shared" si="18"/>
        <v>4</v>
      </c>
      <c r="I61">
        <f t="shared" si="18"/>
        <v>4</v>
      </c>
      <c r="J61">
        <f t="shared" si="18"/>
        <v>4</v>
      </c>
      <c r="K61">
        <f t="shared" si="18"/>
        <v>5</v>
      </c>
      <c r="L61">
        <f t="shared" si="18"/>
        <v>6</v>
      </c>
      <c r="M61">
        <f t="shared" si="18"/>
        <v>7</v>
      </c>
      <c r="N61">
        <f t="shared" si="18"/>
        <v>7</v>
      </c>
      <c r="O61">
        <f t="shared" si="18"/>
        <v>8</v>
      </c>
      <c r="P61">
        <f t="shared" si="18"/>
        <v>9</v>
      </c>
    </row>
    <row r="62" spans="2:16" x14ac:dyDescent="0.3">
      <c r="B62">
        <f t="shared" si="16"/>
        <v>141</v>
      </c>
      <c r="C62">
        <f t="shared" si="17"/>
        <v>0.5</v>
      </c>
      <c r="D62">
        <f t="shared" si="18"/>
        <v>0.5</v>
      </c>
      <c r="E62">
        <f t="shared" si="18"/>
        <v>0.5</v>
      </c>
      <c r="F62">
        <f t="shared" si="18"/>
        <v>0.5</v>
      </c>
      <c r="G62">
        <f t="shared" si="18"/>
        <v>0.5</v>
      </c>
      <c r="H62">
        <f t="shared" si="18"/>
        <v>1.5</v>
      </c>
      <c r="I62">
        <f t="shared" si="18"/>
        <v>1.5</v>
      </c>
      <c r="J62">
        <f t="shared" si="18"/>
        <v>1.5</v>
      </c>
      <c r="K62">
        <f t="shared" si="18"/>
        <v>2.5</v>
      </c>
      <c r="L62">
        <f t="shared" si="18"/>
        <v>2.5</v>
      </c>
      <c r="M62">
        <f t="shared" si="18"/>
        <v>3.5</v>
      </c>
      <c r="N62">
        <f t="shared" si="18"/>
        <v>3.5</v>
      </c>
      <c r="O62">
        <f t="shared" si="18"/>
        <v>4.5</v>
      </c>
      <c r="P62">
        <f t="shared" si="18"/>
        <v>4.5</v>
      </c>
    </row>
    <row r="63" spans="2:16" x14ac:dyDescent="0.3">
      <c r="B63" t="str">
        <f t="shared" si="16"/>
        <v>Brills</v>
      </c>
      <c r="C63">
        <f t="shared" si="17"/>
        <v>1</v>
      </c>
      <c r="D63">
        <f t="shared" si="18"/>
        <v>2</v>
      </c>
      <c r="E63">
        <f t="shared" si="18"/>
        <v>2</v>
      </c>
      <c r="F63">
        <f t="shared" si="18"/>
        <v>2</v>
      </c>
      <c r="G63">
        <f t="shared" si="18"/>
        <v>2</v>
      </c>
      <c r="H63">
        <f t="shared" si="18"/>
        <v>3</v>
      </c>
      <c r="I63">
        <f t="shared" si="18"/>
        <v>4</v>
      </c>
      <c r="J63">
        <f t="shared" si="18"/>
        <v>5</v>
      </c>
      <c r="K63">
        <f t="shared" si="18"/>
        <v>5</v>
      </c>
      <c r="L63">
        <f t="shared" si="18"/>
        <v>6</v>
      </c>
      <c r="M63">
        <f t="shared" si="18"/>
        <v>7</v>
      </c>
      <c r="N63">
        <f t="shared" si="18"/>
        <v>8</v>
      </c>
      <c r="O63">
        <f t="shared" si="18"/>
        <v>9</v>
      </c>
      <c r="P63">
        <f t="shared" si="18"/>
        <v>9</v>
      </c>
    </row>
    <row r="65" spans="2:62" x14ac:dyDescent="0.3">
      <c r="B65" t="s">
        <v>9</v>
      </c>
    </row>
    <row r="66" spans="2:62" x14ac:dyDescent="0.3">
      <c r="B66" t="str">
        <f>B2</f>
        <v>Bone</v>
      </c>
      <c r="C66">
        <f>C2</f>
        <v>91.28</v>
      </c>
      <c r="D66">
        <f>C66+D2</f>
        <v>229.96</v>
      </c>
      <c r="E66">
        <f t="shared" ref="E66:P66" si="19">D66+E2</f>
        <v>334.38</v>
      </c>
      <c r="F66">
        <f t="shared" si="19"/>
        <v>447.15999999999997</v>
      </c>
      <c r="G66">
        <f t="shared" si="19"/>
        <v>560.5</v>
      </c>
      <c r="H66">
        <f t="shared" si="19"/>
        <v>658.06</v>
      </c>
      <c r="I66">
        <f t="shared" si="19"/>
        <v>743.78</v>
      </c>
      <c r="J66">
        <f t="shared" si="19"/>
        <v>880.16</v>
      </c>
      <c r="K66">
        <f t="shared" si="19"/>
        <v>1015.76</v>
      </c>
      <c r="L66">
        <f t="shared" si="19"/>
        <v>1104.56</v>
      </c>
      <c r="M66">
        <f t="shared" si="19"/>
        <v>1181.8999999999999</v>
      </c>
      <c r="N66">
        <f t="shared" si="19"/>
        <v>1297.06</v>
      </c>
      <c r="O66">
        <f t="shared" si="19"/>
        <v>1369.3999999999999</v>
      </c>
      <c r="P66">
        <f t="shared" si="19"/>
        <v>1488.7399999999998</v>
      </c>
    </row>
    <row r="67" spans="2:62" x14ac:dyDescent="0.3">
      <c r="B67" t="str">
        <f t="shared" ref="B67:B75" si="20">B3</f>
        <v>not last</v>
      </c>
      <c r="C67">
        <f t="shared" ref="C67:C75" si="21">C3</f>
        <v>94.12</v>
      </c>
      <c r="D67">
        <f t="shared" ref="D67:P75" si="22">C67+D3</f>
        <v>172.06</v>
      </c>
      <c r="E67">
        <f t="shared" si="22"/>
        <v>269.58</v>
      </c>
      <c r="F67">
        <f t="shared" si="22"/>
        <v>350.86</v>
      </c>
      <c r="G67">
        <f t="shared" si="22"/>
        <v>458.44</v>
      </c>
      <c r="H67">
        <f t="shared" si="22"/>
        <v>526.62</v>
      </c>
      <c r="I67">
        <f t="shared" si="22"/>
        <v>656.24</v>
      </c>
      <c r="J67">
        <f t="shared" si="22"/>
        <v>761.62</v>
      </c>
      <c r="K67">
        <f t="shared" si="22"/>
        <v>850.6</v>
      </c>
      <c r="L67">
        <f t="shared" si="22"/>
        <v>971.9</v>
      </c>
      <c r="M67">
        <f t="shared" si="22"/>
        <v>1066.92</v>
      </c>
      <c r="N67">
        <f t="shared" si="22"/>
        <v>1203.7</v>
      </c>
      <c r="O67">
        <f t="shared" si="22"/>
        <v>1295.8400000000001</v>
      </c>
      <c r="P67">
        <f t="shared" si="22"/>
        <v>1405.7400000000002</v>
      </c>
    </row>
    <row r="68" spans="2:62" x14ac:dyDescent="0.3">
      <c r="B68" t="str">
        <f t="shared" si="20"/>
        <v>Jeanty</v>
      </c>
      <c r="C68">
        <f t="shared" si="21"/>
        <v>70.98</v>
      </c>
      <c r="D68">
        <f t="shared" si="22"/>
        <v>166.62</v>
      </c>
      <c r="E68">
        <f t="shared" si="22"/>
        <v>320.65999999999997</v>
      </c>
      <c r="F68">
        <f t="shared" si="22"/>
        <v>423.55999999999995</v>
      </c>
      <c r="G68">
        <f t="shared" si="22"/>
        <v>510.95999999999992</v>
      </c>
      <c r="H68">
        <f t="shared" si="22"/>
        <v>591.4799999999999</v>
      </c>
      <c r="I68">
        <f t="shared" si="22"/>
        <v>717.01999999999987</v>
      </c>
      <c r="J68">
        <f t="shared" si="22"/>
        <v>828.57999999999993</v>
      </c>
      <c r="K68">
        <f t="shared" si="22"/>
        <v>926.68</v>
      </c>
      <c r="L68">
        <f t="shared" si="22"/>
        <v>1012.5</v>
      </c>
      <c r="M68">
        <f t="shared" si="22"/>
        <v>1087.8</v>
      </c>
      <c r="N68">
        <f t="shared" si="22"/>
        <v>1232.1599999999999</v>
      </c>
      <c r="O68">
        <f t="shared" si="22"/>
        <v>1346.36</v>
      </c>
      <c r="P68">
        <f t="shared" si="22"/>
        <v>1427.1599999999999</v>
      </c>
    </row>
    <row r="69" spans="2:62" x14ac:dyDescent="0.3">
      <c r="B69" t="str">
        <f t="shared" si="20"/>
        <v>mahoms</v>
      </c>
      <c r="C69">
        <f t="shared" si="21"/>
        <v>109.02</v>
      </c>
      <c r="D69">
        <f t="shared" si="22"/>
        <v>199</v>
      </c>
      <c r="E69">
        <f t="shared" si="22"/>
        <v>329.65999999999997</v>
      </c>
      <c r="F69">
        <f t="shared" si="22"/>
        <v>420.55999999999995</v>
      </c>
      <c r="G69">
        <f t="shared" si="22"/>
        <v>559.59999999999991</v>
      </c>
      <c r="H69">
        <f t="shared" si="22"/>
        <v>679.18</v>
      </c>
      <c r="I69">
        <f t="shared" si="22"/>
        <v>779.31999999999994</v>
      </c>
      <c r="J69">
        <f t="shared" si="22"/>
        <v>913.37999999999988</v>
      </c>
      <c r="K69">
        <f t="shared" si="22"/>
        <v>969.87999999999988</v>
      </c>
      <c r="L69">
        <f t="shared" si="22"/>
        <v>1002.2799999999999</v>
      </c>
      <c r="M69">
        <f t="shared" si="22"/>
        <v>1051.2199999999998</v>
      </c>
      <c r="N69">
        <f t="shared" si="22"/>
        <v>1102.5999999999999</v>
      </c>
      <c r="O69">
        <f t="shared" si="22"/>
        <v>1166.6399999999999</v>
      </c>
      <c r="P69">
        <f t="shared" si="22"/>
        <v>1221.04</v>
      </c>
    </row>
    <row r="70" spans="2:62" x14ac:dyDescent="0.3">
      <c r="B70" t="str">
        <f t="shared" si="20"/>
        <v>Jamara</v>
      </c>
      <c r="C70">
        <f t="shared" si="21"/>
        <v>89.96</v>
      </c>
      <c r="D70">
        <f t="shared" si="22"/>
        <v>207.77999999999997</v>
      </c>
      <c r="E70">
        <f t="shared" si="22"/>
        <v>320</v>
      </c>
      <c r="F70">
        <f t="shared" si="22"/>
        <v>429.36</v>
      </c>
      <c r="G70">
        <f t="shared" si="22"/>
        <v>540.18000000000006</v>
      </c>
      <c r="H70">
        <f t="shared" si="22"/>
        <v>614.48</v>
      </c>
      <c r="I70">
        <f t="shared" si="22"/>
        <v>718.82</v>
      </c>
      <c r="J70">
        <f t="shared" si="22"/>
        <v>807.84</v>
      </c>
      <c r="K70">
        <f t="shared" si="22"/>
        <v>921.16000000000008</v>
      </c>
      <c r="L70">
        <f t="shared" si="22"/>
        <v>1012.6000000000001</v>
      </c>
      <c r="M70">
        <f t="shared" si="22"/>
        <v>1118.5800000000002</v>
      </c>
      <c r="N70">
        <f t="shared" si="22"/>
        <v>1205.2000000000003</v>
      </c>
      <c r="O70">
        <f t="shared" si="22"/>
        <v>1333.9200000000003</v>
      </c>
      <c r="P70">
        <f t="shared" si="22"/>
        <v>1444.5600000000004</v>
      </c>
    </row>
    <row r="71" spans="2:62" x14ac:dyDescent="0.3">
      <c r="B71" t="str">
        <f t="shared" si="20"/>
        <v>johnathan</v>
      </c>
      <c r="C71">
        <f t="shared" si="21"/>
        <v>112.82</v>
      </c>
      <c r="D71">
        <f t="shared" si="22"/>
        <v>234.68</v>
      </c>
      <c r="E71">
        <f t="shared" si="22"/>
        <v>349.66</v>
      </c>
      <c r="F71">
        <f t="shared" si="22"/>
        <v>458.88</v>
      </c>
      <c r="G71">
        <f t="shared" si="22"/>
        <v>585.55999999999995</v>
      </c>
      <c r="H71">
        <f t="shared" si="22"/>
        <v>674.21999999999991</v>
      </c>
      <c r="I71">
        <f t="shared" si="22"/>
        <v>788.87999999999988</v>
      </c>
      <c r="J71">
        <f t="shared" si="22"/>
        <v>927.79999999999984</v>
      </c>
      <c r="K71">
        <f t="shared" si="22"/>
        <v>1009.0399999999998</v>
      </c>
      <c r="L71">
        <f t="shared" si="22"/>
        <v>1159.4199999999998</v>
      </c>
      <c r="M71">
        <f t="shared" si="22"/>
        <v>1264.9799999999998</v>
      </c>
      <c r="N71">
        <f t="shared" si="22"/>
        <v>1333.8399999999997</v>
      </c>
      <c r="O71">
        <f t="shared" si="22"/>
        <v>1411.6799999999996</v>
      </c>
      <c r="P71">
        <f t="shared" si="22"/>
        <v>1495.0399999999995</v>
      </c>
    </row>
    <row r="72" spans="2:62" x14ac:dyDescent="0.3">
      <c r="B72" t="str">
        <f t="shared" si="20"/>
        <v>chiefs</v>
      </c>
      <c r="C72">
        <f t="shared" si="21"/>
        <v>104.88</v>
      </c>
      <c r="D72">
        <f t="shared" si="22"/>
        <v>240.92</v>
      </c>
      <c r="E72">
        <f t="shared" si="22"/>
        <v>321.5</v>
      </c>
      <c r="F72">
        <f t="shared" si="22"/>
        <v>465.46000000000004</v>
      </c>
      <c r="G72">
        <f t="shared" si="22"/>
        <v>578.52</v>
      </c>
      <c r="H72">
        <f t="shared" si="22"/>
        <v>705.16</v>
      </c>
      <c r="I72">
        <f t="shared" si="22"/>
        <v>803.83999999999992</v>
      </c>
      <c r="J72">
        <f t="shared" si="22"/>
        <v>986.61999999999989</v>
      </c>
      <c r="K72">
        <f t="shared" si="22"/>
        <v>1089.4599999999998</v>
      </c>
      <c r="L72">
        <f t="shared" si="22"/>
        <v>1237.9599999999998</v>
      </c>
      <c r="M72">
        <f t="shared" si="22"/>
        <v>1338.0599999999997</v>
      </c>
      <c r="N72">
        <f t="shared" si="22"/>
        <v>1450.7799999999997</v>
      </c>
      <c r="O72">
        <f t="shared" si="22"/>
        <v>1543.3999999999996</v>
      </c>
      <c r="P72">
        <f t="shared" si="22"/>
        <v>1642.7399999999996</v>
      </c>
    </row>
    <row r="73" spans="2:62" x14ac:dyDescent="0.3">
      <c r="B73" t="str">
        <f t="shared" si="20"/>
        <v>HotDog</v>
      </c>
      <c r="C73">
        <f t="shared" si="21"/>
        <v>111.76</v>
      </c>
      <c r="D73">
        <f t="shared" si="22"/>
        <v>220.86</v>
      </c>
      <c r="E73">
        <f t="shared" si="22"/>
        <v>333.98</v>
      </c>
      <c r="F73">
        <f t="shared" si="22"/>
        <v>449.06</v>
      </c>
      <c r="G73">
        <f t="shared" si="22"/>
        <v>572.88</v>
      </c>
      <c r="H73">
        <f t="shared" si="22"/>
        <v>647.58000000000004</v>
      </c>
      <c r="I73">
        <f t="shared" si="22"/>
        <v>761.22</v>
      </c>
      <c r="J73">
        <f t="shared" si="22"/>
        <v>861.68000000000006</v>
      </c>
      <c r="K73">
        <f t="shared" si="22"/>
        <v>961.1400000000001</v>
      </c>
      <c r="L73">
        <f t="shared" si="22"/>
        <v>1068.18</v>
      </c>
      <c r="M73">
        <f t="shared" si="22"/>
        <v>1168.7</v>
      </c>
      <c r="N73">
        <f t="shared" si="22"/>
        <v>1257.42</v>
      </c>
      <c r="O73">
        <f t="shared" si="22"/>
        <v>1352.26</v>
      </c>
      <c r="P73">
        <f t="shared" si="22"/>
        <v>1479.82</v>
      </c>
    </row>
    <row r="74" spans="2:62" x14ac:dyDescent="0.3">
      <c r="B74">
        <f t="shared" si="20"/>
        <v>141</v>
      </c>
      <c r="C74">
        <f t="shared" si="21"/>
        <v>112.82</v>
      </c>
      <c r="D74">
        <f t="shared" si="22"/>
        <v>214.62</v>
      </c>
      <c r="E74">
        <f t="shared" si="22"/>
        <v>304.27999999999997</v>
      </c>
      <c r="F74">
        <f t="shared" si="22"/>
        <v>434.17999999999995</v>
      </c>
      <c r="G74">
        <f t="shared" si="22"/>
        <v>529.38</v>
      </c>
      <c r="H74">
        <f t="shared" si="22"/>
        <v>716.8</v>
      </c>
      <c r="I74">
        <f t="shared" si="22"/>
        <v>836.74</v>
      </c>
      <c r="J74">
        <f t="shared" si="22"/>
        <v>901.72</v>
      </c>
      <c r="K74">
        <f t="shared" si="22"/>
        <v>1039.32</v>
      </c>
      <c r="L74">
        <f t="shared" si="22"/>
        <v>1121.52</v>
      </c>
      <c r="M74">
        <f t="shared" si="22"/>
        <v>1266.6399999999999</v>
      </c>
      <c r="N74">
        <f t="shared" si="22"/>
        <v>1356.8799999999999</v>
      </c>
      <c r="O74">
        <f t="shared" si="22"/>
        <v>1482.7199999999998</v>
      </c>
      <c r="P74">
        <f t="shared" si="22"/>
        <v>1562.3999999999999</v>
      </c>
      <c r="AH74" t="s">
        <v>11</v>
      </c>
      <c r="AI74">
        <v>0.17</v>
      </c>
    </row>
    <row r="75" spans="2:62" x14ac:dyDescent="0.3">
      <c r="B75" t="str">
        <f t="shared" si="20"/>
        <v>Brills</v>
      </c>
      <c r="C75">
        <f t="shared" si="21"/>
        <v>80.42</v>
      </c>
      <c r="D75">
        <f t="shared" si="22"/>
        <v>184.01999999999998</v>
      </c>
      <c r="E75">
        <f t="shared" si="22"/>
        <v>256.44</v>
      </c>
      <c r="F75">
        <f t="shared" si="22"/>
        <v>348.46</v>
      </c>
      <c r="G75">
        <f t="shared" si="22"/>
        <v>455.2</v>
      </c>
      <c r="H75">
        <f t="shared" si="22"/>
        <v>555.55999999999995</v>
      </c>
      <c r="I75">
        <f t="shared" si="22"/>
        <v>659.69999999999993</v>
      </c>
      <c r="J75">
        <f t="shared" si="22"/>
        <v>773.57999999999993</v>
      </c>
      <c r="K75">
        <f t="shared" si="22"/>
        <v>892.7399999999999</v>
      </c>
      <c r="L75">
        <f t="shared" si="22"/>
        <v>993.63999999999987</v>
      </c>
      <c r="M75">
        <f t="shared" si="22"/>
        <v>1111.58</v>
      </c>
      <c r="N75">
        <f t="shared" si="22"/>
        <v>1202.3399999999999</v>
      </c>
      <c r="O75">
        <f t="shared" si="22"/>
        <v>1326.32</v>
      </c>
      <c r="P75">
        <f t="shared" si="22"/>
        <v>1420.74</v>
      </c>
    </row>
    <row r="77" spans="2:62" x14ac:dyDescent="0.3">
      <c r="B77" t="s">
        <v>8</v>
      </c>
      <c r="S77" t="s">
        <v>7</v>
      </c>
      <c r="T77">
        <v>3</v>
      </c>
      <c r="U77">
        <v>4</v>
      </c>
      <c r="V77">
        <v>5</v>
      </c>
      <c r="W77">
        <v>6</v>
      </c>
      <c r="X77">
        <v>7</v>
      </c>
      <c r="Y77">
        <v>8</v>
      </c>
      <c r="Z77">
        <v>9</v>
      </c>
      <c r="AA77">
        <v>10</v>
      </c>
      <c r="AB77">
        <v>11</v>
      </c>
      <c r="AC77">
        <v>12</v>
      </c>
      <c r="AD77">
        <v>13</v>
      </c>
      <c r="AE77">
        <v>14</v>
      </c>
      <c r="AF77">
        <v>15</v>
      </c>
      <c r="AH77" t="s">
        <v>14</v>
      </c>
      <c r="AI77">
        <v>3</v>
      </c>
      <c r="AJ77">
        <v>4</v>
      </c>
      <c r="AK77">
        <v>5</v>
      </c>
      <c r="AL77">
        <v>6</v>
      </c>
      <c r="AM77">
        <v>7</v>
      </c>
      <c r="AN77">
        <v>8</v>
      </c>
      <c r="AO77">
        <v>9</v>
      </c>
      <c r="AP77">
        <v>10</v>
      </c>
      <c r="AQ77">
        <v>11</v>
      </c>
      <c r="AR77">
        <v>12</v>
      </c>
      <c r="AS77">
        <v>13</v>
      </c>
      <c r="AT77">
        <v>14</v>
      </c>
      <c r="AU77">
        <v>15</v>
      </c>
      <c r="AW77" t="s">
        <v>13</v>
      </c>
      <c r="AX77">
        <v>3</v>
      </c>
      <c r="AY77">
        <v>4</v>
      </c>
      <c r="AZ77">
        <v>5</v>
      </c>
      <c r="BA77">
        <v>6</v>
      </c>
      <c r="BB77">
        <v>7</v>
      </c>
      <c r="BC77">
        <v>8</v>
      </c>
      <c r="BD77">
        <v>9</v>
      </c>
      <c r="BE77">
        <v>10</v>
      </c>
      <c r="BF77">
        <v>11</v>
      </c>
      <c r="BG77">
        <v>12</v>
      </c>
      <c r="BH77">
        <v>13</v>
      </c>
      <c r="BI77">
        <v>14</v>
      </c>
      <c r="BJ77">
        <v>15</v>
      </c>
    </row>
    <row r="78" spans="2:62" x14ac:dyDescent="0.3">
      <c r="B78" s="1">
        <v>1</v>
      </c>
      <c r="C78" t="str" cm="1">
        <f t="array" ref="C78:C87">_xlfn.SORTBY($B66:$B75, C54:C63,-1,C66:C75, -1)</f>
        <v>HotDog</v>
      </c>
      <c r="D78" t="str" cm="1">
        <f t="array" ref="D78:D87">_xlfn.SORTBY($B66:$B75, D54:D63,-1,D66:D75, -1)</f>
        <v>chiefs</v>
      </c>
      <c r="E78" t="str" cm="1">
        <f t="array" ref="E78:E87">_xlfn.SORTBY($B66:$B75, E54:E63,-1,E66:E75, -1)</f>
        <v>johnathan</v>
      </c>
      <c r="F78" t="str" cm="1">
        <f t="array" ref="F78:F87">_xlfn.SORTBY($B66:$B75, F54:F63,-1,F66:F75, -1)</f>
        <v>johnathan</v>
      </c>
      <c r="G78" t="str" cm="1">
        <f t="array" ref="G78:G87">_xlfn.SORTBY($B66:$B75, G54:G63,-1,G66:G75, -1)</f>
        <v>chiefs</v>
      </c>
      <c r="H78" t="str" cm="1">
        <f t="array" ref="H78:H87">_xlfn.SORTBY($B66:$B75, H54:H63,-1,H66:H75, -1)</f>
        <v>chiefs</v>
      </c>
      <c r="I78" t="str" cm="1">
        <f t="array" ref="I78:I87">_xlfn.SORTBY($B66:$B75, I54:I63,-1,I66:I75, -1)</f>
        <v>johnathan</v>
      </c>
      <c r="J78" t="str" cm="1">
        <f t="array" ref="J78:J87">_xlfn.SORTBY($B66:$B75, J54:J63,-1,J66:J75, -1)</f>
        <v>chiefs</v>
      </c>
      <c r="K78" t="str" cm="1">
        <f t="array" ref="K78:K87">_xlfn.SORTBY($B66:$B75, K54:K63,-1,K66:K75, -1)</f>
        <v>chiefs</v>
      </c>
      <c r="L78" t="str" cm="1">
        <f t="array" ref="L78:L87">_xlfn.SORTBY($B66:$B75, L54:L63,-1,L66:L75, -1)</f>
        <v>chiefs</v>
      </c>
      <c r="M78" t="str" cm="1">
        <f t="array" ref="M78:M87">_xlfn.SORTBY($B66:$B75, M54:M63,-1,M66:M75, -1)</f>
        <v>chiefs</v>
      </c>
      <c r="N78" t="str" cm="1">
        <f t="array" ref="N78:N87">_xlfn.SORTBY($B66:$B75, N54:N63,-1,N66:N75, -1)</f>
        <v>chiefs</v>
      </c>
      <c r="O78" t="str" cm="1">
        <f t="array" ref="O78:O87">_xlfn.SORTBY($B66:$B75, O54:O63,-1,O66:O75, -1)</f>
        <v>chiefs</v>
      </c>
      <c r="P78" t="str" cm="1">
        <f t="array" ref="P78:P87">_xlfn.SORTBY($B66:$B75, P54:P63,-1,P66:P75, -1)</f>
        <v>chiefs</v>
      </c>
      <c r="Q78" s="1">
        <v>1</v>
      </c>
      <c r="S78">
        <f>VLOOKUP(C78,$B$54:$P$63, 2, FALSE)</f>
        <v>1</v>
      </c>
      <c r="T78">
        <f t="shared" ref="T78:T87" si="23">VLOOKUP(D78,$B$54:$P$63, T$77, FALSE)</f>
        <v>2</v>
      </c>
      <c r="U78">
        <f t="shared" ref="U78:U87" si="24">VLOOKUP(E78,$B$54:$P$63, U$77, FALSE)</f>
        <v>2.5</v>
      </c>
      <c r="V78">
        <f t="shared" ref="V78:V87" si="25">VLOOKUP(F78,$B$54:$P$63, V$77, FALSE)</f>
        <v>3.5</v>
      </c>
      <c r="W78">
        <f t="shared" ref="W78:W87" si="26">VLOOKUP(G78,$B$54:$P$63, W$77, FALSE)</f>
        <v>4</v>
      </c>
      <c r="X78">
        <f t="shared" ref="X78:X87" si="27">VLOOKUP(H78,$B$54:$P$63, X$77, FALSE)</f>
        <v>5</v>
      </c>
      <c r="Y78">
        <f t="shared" ref="Y78:Y87" si="28">VLOOKUP(I78,$B$54:$P$63, Y$77, FALSE)</f>
        <v>5.5</v>
      </c>
      <c r="Z78">
        <f t="shared" ref="Z78:Z87" si="29">VLOOKUP(J78,$B$54:$P$63, Z$77, FALSE)</f>
        <v>6</v>
      </c>
      <c r="AA78">
        <f t="shared" ref="AA78:AA87" si="30">VLOOKUP(K78,$B$54:$P$63, AA$77, FALSE)</f>
        <v>6</v>
      </c>
      <c r="AB78">
        <f t="shared" ref="AB78:AB87" si="31">VLOOKUP(L78,$B$54:$P$63, AB$77, FALSE)</f>
        <v>7</v>
      </c>
      <c r="AC78">
        <f t="shared" ref="AC78:AC87" si="32">VLOOKUP(M78,$B$54:$P$63, AC$77, FALSE)</f>
        <v>8</v>
      </c>
      <c r="AD78">
        <f t="shared" ref="AD78:AD87" si="33">VLOOKUP(N78,$B$54:$P$63, AD$77, FALSE)</f>
        <v>9</v>
      </c>
      <c r="AE78">
        <f t="shared" ref="AE78:AE87" si="34">VLOOKUP(O78,$B$54:$P$63, AE$77, FALSE)</f>
        <v>9</v>
      </c>
      <c r="AF78">
        <f t="shared" ref="AF78:AF87" si="35">VLOOKUP(P78,$B$54:$P$63, AF$77, FALSE)</f>
        <v>9</v>
      </c>
      <c r="AV78" s="1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</row>
    <row r="79" spans="2:62" x14ac:dyDescent="0.3">
      <c r="B79" s="1">
        <v>2</v>
      </c>
      <c r="C79" t="str">
        <v>mahoms</v>
      </c>
      <c r="D79" t="str">
        <v>Brills</v>
      </c>
      <c r="E79" t="str">
        <v>Bone</v>
      </c>
      <c r="F79" t="str">
        <v>chiefs</v>
      </c>
      <c r="G79" t="str">
        <v>HotDog</v>
      </c>
      <c r="H79" t="str">
        <v>johnathan</v>
      </c>
      <c r="I79" t="str">
        <v>chiefs</v>
      </c>
      <c r="J79" t="str">
        <v>johnathan</v>
      </c>
      <c r="K79" t="str">
        <v>Bone</v>
      </c>
      <c r="L79" t="str">
        <v>johnathan</v>
      </c>
      <c r="M79" t="str">
        <v>johnathan</v>
      </c>
      <c r="N79" t="str">
        <v>Brills</v>
      </c>
      <c r="O79" t="str">
        <v>Brills</v>
      </c>
      <c r="P79" t="str">
        <v>HotDog</v>
      </c>
      <c r="Q79" s="1">
        <v>2</v>
      </c>
      <c r="S79">
        <f t="shared" ref="S79:S87" si="36">VLOOKUP(C79,B$54:P$63, 2, FALSE)</f>
        <v>1</v>
      </c>
      <c r="T79">
        <f t="shared" si="23"/>
        <v>2</v>
      </c>
      <c r="U79">
        <f t="shared" si="24"/>
        <v>2</v>
      </c>
      <c r="V79">
        <f t="shared" si="25"/>
        <v>3</v>
      </c>
      <c r="W79">
        <f t="shared" si="26"/>
        <v>4</v>
      </c>
      <c r="X79">
        <f t="shared" si="27"/>
        <v>4.5</v>
      </c>
      <c r="Y79">
        <f t="shared" si="28"/>
        <v>5</v>
      </c>
      <c r="Z79">
        <f t="shared" si="29"/>
        <v>5.5</v>
      </c>
      <c r="AA79">
        <f t="shared" si="30"/>
        <v>6</v>
      </c>
      <c r="AB79">
        <f t="shared" si="31"/>
        <v>6.5</v>
      </c>
      <c r="AC79">
        <f t="shared" si="32"/>
        <v>7.5</v>
      </c>
      <c r="AD79">
        <f t="shared" si="33"/>
        <v>8</v>
      </c>
      <c r="AE79">
        <f t="shared" si="34"/>
        <v>9</v>
      </c>
      <c r="AF79">
        <f t="shared" si="35"/>
        <v>9</v>
      </c>
      <c r="AH79">
        <f>IF(S79=S78, 1, 0)</f>
        <v>1</v>
      </c>
      <c r="AI79">
        <f t="shared" ref="AI79:AU79" si="37">IF(T79=T78, 1, 0)</f>
        <v>1</v>
      </c>
      <c r="AJ79">
        <f t="shared" si="37"/>
        <v>0</v>
      </c>
      <c r="AK79">
        <f t="shared" si="37"/>
        <v>0</v>
      </c>
      <c r="AL79">
        <f t="shared" si="37"/>
        <v>1</v>
      </c>
      <c r="AM79">
        <f t="shared" si="37"/>
        <v>0</v>
      </c>
      <c r="AN79">
        <f t="shared" si="37"/>
        <v>0</v>
      </c>
      <c r="AO79">
        <f t="shared" si="37"/>
        <v>0</v>
      </c>
      <c r="AP79">
        <f t="shared" si="37"/>
        <v>1</v>
      </c>
      <c r="AQ79">
        <f t="shared" si="37"/>
        <v>0</v>
      </c>
      <c r="AR79">
        <f t="shared" si="37"/>
        <v>0</v>
      </c>
      <c r="AS79">
        <f t="shared" si="37"/>
        <v>0</v>
      </c>
      <c r="AT79">
        <f t="shared" si="37"/>
        <v>1</v>
      </c>
      <c r="AU79">
        <f t="shared" si="37"/>
        <v>1</v>
      </c>
      <c r="AV79" s="1">
        <v>2</v>
      </c>
      <c r="AW79">
        <f>IF(AH79=0, _xlfn.CEILING.MATH(AW78+0.001), AW78+$AI$74)</f>
        <v>1.17</v>
      </c>
      <c r="AX79">
        <f t="shared" ref="AX79:BJ79" si="38">IF(AI79=0, _xlfn.CEILING.MATH(AX78+0.001), AX78+$AI$74)</f>
        <v>1.17</v>
      </c>
      <c r="AY79">
        <f t="shared" si="38"/>
        <v>2</v>
      </c>
      <c r="AZ79">
        <f t="shared" si="38"/>
        <v>2</v>
      </c>
      <c r="BA79">
        <f t="shared" si="38"/>
        <v>1.17</v>
      </c>
      <c r="BB79">
        <f t="shared" si="38"/>
        <v>2</v>
      </c>
      <c r="BC79">
        <f t="shared" si="38"/>
        <v>2</v>
      </c>
      <c r="BD79">
        <f t="shared" si="38"/>
        <v>2</v>
      </c>
      <c r="BE79">
        <f t="shared" si="38"/>
        <v>1.17</v>
      </c>
      <c r="BF79">
        <f t="shared" si="38"/>
        <v>2</v>
      </c>
      <c r="BG79">
        <f t="shared" si="38"/>
        <v>2</v>
      </c>
      <c r="BH79">
        <f t="shared" si="38"/>
        <v>2</v>
      </c>
      <c r="BI79">
        <f t="shared" si="38"/>
        <v>1.17</v>
      </c>
      <c r="BJ79">
        <f t="shared" si="38"/>
        <v>1.17</v>
      </c>
    </row>
    <row r="80" spans="2:62" x14ac:dyDescent="0.3">
      <c r="B80" s="1">
        <v>3</v>
      </c>
      <c r="C80" t="str">
        <v>chiefs</v>
      </c>
      <c r="D80" t="str">
        <v>johnathan</v>
      </c>
      <c r="E80" t="str">
        <v>HotDog</v>
      </c>
      <c r="F80" t="str">
        <v>HotDog</v>
      </c>
      <c r="G80" t="str">
        <v>Bone</v>
      </c>
      <c r="H80" t="str">
        <v>Bone</v>
      </c>
      <c r="I80" t="str">
        <v>HotDog</v>
      </c>
      <c r="J80" t="str">
        <v>Bone</v>
      </c>
      <c r="K80" t="str">
        <v>johnathan</v>
      </c>
      <c r="L80" t="str">
        <v>Bone</v>
      </c>
      <c r="M80" t="str">
        <v>HotDog</v>
      </c>
      <c r="N80" t="str">
        <v>johnathan</v>
      </c>
      <c r="O80" t="str">
        <v>HotDog</v>
      </c>
      <c r="P80" t="str">
        <v>Brills</v>
      </c>
      <c r="Q80" s="1">
        <v>3</v>
      </c>
      <c r="S80">
        <f t="shared" si="36"/>
        <v>1</v>
      </c>
      <c r="T80">
        <f t="shared" si="23"/>
        <v>1.5</v>
      </c>
      <c r="U80">
        <f t="shared" si="24"/>
        <v>2</v>
      </c>
      <c r="V80">
        <f t="shared" si="25"/>
        <v>3</v>
      </c>
      <c r="W80">
        <f t="shared" si="26"/>
        <v>4</v>
      </c>
      <c r="X80">
        <f t="shared" si="27"/>
        <v>4</v>
      </c>
      <c r="Y80">
        <f t="shared" si="28"/>
        <v>4</v>
      </c>
      <c r="Z80">
        <f t="shared" si="29"/>
        <v>5</v>
      </c>
      <c r="AA80">
        <f t="shared" si="30"/>
        <v>5.5</v>
      </c>
      <c r="AB80">
        <f t="shared" si="31"/>
        <v>6</v>
      </c>
      <c r="AC80">
        <f t="shared" si="32"/>
        <v>7</v>
      </c>
      <c r="AD80">
        <f t="shared" si="33"/>
        <v>7.5</v>
      </c>
      <c r="AE80">
        <f t="shared" si="34"/>
        <v>8</v>
      </c>
      <c r="AF80">
        <f t="shared" si="35"/>
        <v>9</v>
      </c>
      <c r="AH80">
        <f t="shared" ref="AH80:AH87" si="39">IF(S80=S79, 1, 0)</f>
        <v>1</v>
      </c>
      <c r="AI80">
        <f t="shared" ref="AI80:AI87" si="40">IF(T80=T79, 1, 0)</f>
        <v>0</v>
      </c>
      <c r="AJ80">
        <f t="shared" ref="AJ80:AJ87" si="41">IF(U80=U79, 1, 0)</f>
        <v>1</v>
      </c>
      <c r="AK80">
        <f t="shared" ref="AK80:AK87" si="42">IF(V80=V79, 1, 0)</f>
        <v>1</v>
      </c>
      <c r="AL80">
        <f t="shared" ref="AL80:AL87" si="43">IF(W80=W79, 1, 0)</f>
        <v>1</v>
      </c>
      <c r="AM80">
        <f t="shared" ref="AM80:AM87" si="44">IF(X80=X79, 1, 0)</f>
        <v>0</v>
      </c>
      <c r="AN80">
        <f t="shared" ref="AN80:AN87" si="45">IF(Y80=Y79, 1, 0)</f>
        <v>0</v>
      </c>
      <c r="AO80">
        <f t="shared" ref="AO80:AO87" si="46">IF(Z80=Z79, 1, 0)</f>
        <v>0</v>
      </c>
      <c r="AP80">
        <f t="shared" ref="AP80:AP87" si="47">IF(AA80=AA79, 1, 0)</f>
        <v>0</v>
      </c>
      <c r="AQ80">
        <f t="shared" ref="AQ80:AQ87" si="48">IF(AB80=AB79, 1, 0)</f>
        <v>0</v>
      </c>
      <c r="AR80">
        <f t="shared" ref="AR80:AR87" si="49">IF(AC80=AC79, 1, 0)</f>
        <v>0</v>
      </c>
      <c r="AS80">
        <f t="shared" ref="AS80:AS87" si="50">IF(AD80=AD79, 1, 0)</f>
        <v>0</v>
      </c>
      <c r="AT80">
        <f t="shared" ref="AT80:AT87" si="51">IF(AE80=AE79, 1, 0)</f>
        <v>0</v>
      </c>
      <c r="AU80">
        <f t="shared" ref="AU80:AU87" si="52">IF(AF80=AF79, 1, 0)</f>
        <v>1</v>
      </c>
      <c r="AV80" s="1">
        <v>3</v>
      </c>
      <c r="AW80">
        <f t="shared" ref="AW80:AW87" si="53">IF(AH80=0, _xlfn.CEILING.MATH(AW79+0.001), AW79+$AI$74)</f>
        <v>1.3399999999999999</v>
      </c>
      <c r="AX80">
        <f t="shared" ref="AX80:AX87" si="54">IF(AI80=0, _xlfn.CEILING.MATH(AX79+0.001), AX79+$AI$74)</f>
        <v>2</v>
      </c>
      <c r="AY80">
        <f t="shared" ref="AY80:AY87" si="55">IF(AJ80=0, _xlfn.CEILING.MATH(AY79+0.001), AY79+$AI$74)</f>
        <v>2.17</v>
      </c>
      <c r="AZ80">
        <f t="shared" ref="AZ80:AZ87" si="56">IF(AK80=0, _xlfn.CEILING.MATH(AZ79+0.001), AZ79+$AI$74)</f>
        <v>2.17</v>
      </c>
      <c r="BA80">
        <f t="shared" ref="BA80:BA87" si="57">IF(AL80=0, _xlfn.CEILING.MATH(BA79+0.001), BA79+$AI$74)</f>
        <v>1.3399999999999999</v>
      </c>
      <c r="BB80">
        <f t="shared" ref="BB80:BB87" si="58">IF(AM80=0, _xlfn.CEILING.MATH(BB79+0.001), BB79+$AI$74)</f>
        <v>3</v>
      </c>
      <c r="BC80">
        <f t="shared" ref="BC80:BC87" si="59">IF(AN80=0, _xlfn.CEILING.MATH(BC79+0.001), BC79+$AI$74)</f>
        <v>3</v>
      </c>
      <c r="BD80">
        <f t="shared" ref="BD80:BD87" si="60">IF(AO80=0, _xlfn.CEILING.MATH(BD79+0.001), BD79+$AI$74)</f>
        <v>3</v>
      </c>
      <c r="BE80">
        <f t="shared" ref="BE80:BE87" si="61">IF(AP80=0, _xlfn.CEILING.MATH(BE79+0.001), BE79+$AI$74)</f>
        <v>2</v>
      </c>
      <c r="BF80">
        <f t="shared" ref="BF80:BF87" si="62">IF(AQ80=0, _xlfn.CEILING.MATH(BF79+0.001), BF79+$AI$74)</f>
        <v>3</v>
      </c>
      <c r="BG80">
        <f t="shared" ref="BG80:BG87" si="63">IF(AR80=0, _xlfn.CEILING.MATH(BG79+0.001), BG79+$AI$74)</f>
        <v>3</v>
      </c>
      <c r="BH80">
        <f t="shared" ref="BH80:BH87" si="64">IF(AS80=0, _xlfn.CEILING.MATH(BH79+0.001), BH79+$AI$74)</f>
        <v>3</v>
      </c>
      <c r="BI80">
        <f t="shared" ref="BI80:BI87" si="65">IF(AT80=0, _xlfn.CEILING.MATH(BI79+0.001), BI79+$AI$74)</f>
        <v>2</v>
      </c>
      <c r="BJ80">
        <f t="shared" ref="BJ80:BJ87" si="66">IF(AU80=0, _xlfn.CEILING.MATH(BJ79+0.001), BJ79+$AI$74)</f>
        <v>1.3399999999999999</v>
      </c>
    </row>
    <row r="81" spans="2:62" x14ac:dyDescent="0.3">
      <c r="B81" s="1">
        <v>4</v>
      </c>
      <c r="C81" t="str">
        <v>Brills</v>
      </c>
      <c r="D81" t="str">
        <v>Bone</v>
      </c>
      <c r="E81" t="str">
        <v>mahoms</v>
      </c>
      <c r="F81" t="str">
        <v>Bone</v>
      </c>
      <c r="G81" t="str">
        <v>johnathan</v>
      </c>
      <c r="H81" t="str">
        <v>HotDog</v>
      </c>
      <c r="I81" t="str">
        <v>Bone</v>
      </c>
      <c r="J81" t="str">
        <v>Brills</v>
      </c>
      <c r="K81" t="str">
        <v>HotDog</v>
      </c>
      <c r="L81" t="str">
        <v>HotDog</v>
      </c>
      <c r="M81" t="str">
        <v>Brills</v>
      </c>
      <c r="N81" t="str">
        <v>Bone</v>
      </c>
      <c r="O81" t="str">
        <v>johnathan</v>
      </c>
      <c r="P81" t="str">
        <v>johnathan</v>
      </c>
      <c r="Q81" s="1">
        <v>4</v>
      </c>
      <c r="S81">
        <f t="shared" si="36"/>
        <v>1</v>
      </c>
      <c r="T81">
        <f t="shared" si="23"/>
        <v>1</v>
      </c>
      <c r="U81">
        <f t="shared" si="24"/>
        <v>2</v>
      </c>
      <c r="V81">
        <f t="shared" si="25"/>
        <v>3</v>
      </c>
      <c r="W81">
        <f t="shared" si="26"/>
        <v>3.5</v>
      </c>
      <c r="X81">
        <f t="shared" si="27"/>
        <v>4</v>
      </c>
      <c r="Y81">
        <f t="shared" si="28"/>
        <v>4</v>
      </c>
      <c r="Z81">
        <f t="shared" si="29"/>
        <v>5</v>
      </c>
      <c r="AA81">
        <f t="shared" si="30"/>
        <v>5</v>
      </c>
      <c r="AB81">
        <f t="shared" si="31"/>
        <v>6</v>
      </c>
      <c r="AC81">
        <f t="shared" si="32"/>
        <v>7</v>
      </c>
      <c r="AD81">
        <f t="shared" si="33"/>
        <v>7</v>
      </c>
      <c r="AE81">
        <f t="shared" si="34"/>
        <v>7.5</v>
      </c>
      <c r="AF81">
        <f t="shared" si="35"/>
        <v>8.5</v>
      </c>
      <c r="AH81">
        <f t="shared" si="39"/>
        <v>1</v>
      </c>
      <c r="AI81">
        <f t="shared" si="40"/>
        <v>0</v>
      </c>
      <c r="AJ81">
        <f t="shared" si="41"/>
        <v>1</v>
      </c>
      <c r="AK81">
        <f t="shared" si="42"/>
        <v>1</v>
      </c>
      <c r="AL81">
        <f t="shared" si="43"/>
        <v>0</v>
      </c>
      <c r="AM81">
        <f t="shared" si="44"/>
        <v>1</v>
      </c>
      <c r="AN81">
        <f t="shared" si="45"/>
        <v>1</v>
      </c>
      <c r="AO81">
        <f t="shared" si="46"/>
        <v>1</v>
      </c>
      <c r="AP81">
        <f t="shared" si="47"/>
        <v>0</v>
      </c>
      <c r="AQ81">
        <f t="shared" si="48"/>
        <v>1</v>
      </c>
      <c r="AR81">
        <f t="shared" si="49"/>
        <v>1</v>
      </c>
      <c r="AS81">
        <f t="shared" si="50"/>
        <v>0</v>
      </c>
      <c r="AT81">
        <f t="shared" si="51"/>
        <v>0</v>
      </c>
      <c r="AU81">
        <f t="shared" si="52"/>
        <v>0</v>
      </c>
      <c r="AV81" s="1">
        <v>4</v>
      </c>
      <c r="AW81">
        <f t="shared" si="53"/>
        <v>1.5099999999999998</v>
      </c>
      <c r="AX81">
        <f t="shared" si="54"/>
        <v>3</v>
      </c>
      <c r="AY81">
        <f t="shared" si="55"/>
        <v>2.34</v>
      </c>
      <c r="AZ81">
        <f t="shared" si="56"/>
        <v>2.34</v>
      </c>
      <c r="BA81">
        <f t="shared" si="57"/>
        <v>2</v>
      </c>
      <c r="BB81">
        <f t="shared" si="58"/>
        <v>3.17</v>
      </c>
      <c r="BC81">
        <f t="shared" si="59"/>
        <v>3.17</v>
      </c>
      <c r="BD81">
        <f t="shared" si="60"/>
        <v>3.17</v>
      </c>
      <c r="BE81">
        <f t="shared" si="61"/>
        <v>3</v>
      </c>
      <c r="BF81">
        <f t="shared" si="62"/>
        <v>3.17</v>
      </c>
      <c r="BG81">
        <f t="shared" si="63"/>
        <v>3.17</v>
      </c>
      <c r="BH81">
        <f t="shared" si="64"/>
        <v>4</v>
      </c>
      <c r="BI81">
        <f t="shared" si="65"/>
        <v>3</v>
      </c>
      <c r="BJ81">
        <f t="shared" si="66"/>
        <v>2</v>
      </c>
    </row>
    <row r="82" spans="2:62" x14ac:dyDescent="0.3">
      <c r="B82" s="1">
        <v>5</v>
      </c>
      <c r="C82" t="str">
        <v>johnathan</v>
      </c>
      <c r="D82" t="str">
        <v>HotDog</v>
      </c>
      <c r="E82" t="str">
        <v>chiefs</v>
      </c>
      <c r="F82" t="str">
        <v>Jamara</v>
      </c>
      <c r="G82" t="str">
        <v>mahoms</v>
      </c>
      <c r="H82" t="str">
        <v>mahoms</v>
      </c>
      <c r="I82" t="str">
        <v>Jamara</v>
      </c>
      <c r="J82" t="str">
        <v>mahoms</v>
      </c>
      <c r="K82" t="str">
        <v>Jamara</v>
      </c>
      <c r="L82" t="str">
        <v>Brills</v>
      </c>
      <c r="M82" t="str">
        <v>Bone</v>
      </c>
      <c r="N82" t="str">
        <v>HotDog</v>
      </c>
      <c r="O82" t="str">
        <v>Bone</v>
      </c>
      <c r="P82" t="str">
        <v>Bone</v>
      </c>
      <c r="Q82" s="1">
        <v>5</v>
      </c>
      <c r="S82">
        <f t="shared" si="36"/>
        <v>0.5</v>
      </c>
      <c r="T82">
        <f t="shared" si="23"/>
        <v>1</v>
      </c>
      <c r="U82">
        <f t="shared" si="24"/>
        <v>2</v>
      </c>
      <c r="V82">
        <f t="shared" si="25"/>
        <v>2</v>
      </c>
      <c r="W82">
        <f t="shared" si="26"/>
        <v>3</v>
      </c>
      <c r="X82">
        <f t="shared" si="27"/>
        <v>3</v>
      </c>
      <c r="Y82">
        <f t="shared" si="28"/>
        <v>4</v>
      </c>
      <c r="Z82">
        <f t="shared" si="29"/>
        <v>4</v>
      </c>
      <c r="AA82">
        <f t="shared" si="30"/>
        <v>5</v>
      </c>
      <c r="AB82">
        <f t="shared" si="31"/>
        <v>6</v>
      </c>
      <c r="AC82">
        <f t="shared" si="32"/>
        <v>6</v>
      </c>
      <c r="AD82">
        <f t="shared" si="33"/>
        <v>7</v>
      </c>
      <c r="AE82">
        <f t="shared" si="34"/>
        <v>7</v>
      </c>
      <c r="AF82">
        <f t="shared" si="35"/>
        <v>8</v>
      </c>
      <c r="AH82">
        <f t="shared" si="39"/>
        <v>0</v>
      </c>
      <c r="AI82">
        <f t="shared" si="40"/>
        <v>1</v>
      </c>
      <c r="AJ82">
        <f t="shared" si="41"/>
        <v>1</v>
      </c>
      <c r="AK82">
        <f t="shared" si="42"/>
        <v>0</v>
      </c>
      <c r="AL82">
        <f t="shared" si="43"/>
        <v>0</v>
      </c>
      <c r="AM82">
        <f t="shared" si="44"/>
        <v>0</v>
      </c>
      <c r="AN82">
        <f t="shared" si="45"/>
        <v>1</v>
      </c>
      <c r="AO82">
        <f t="shared" si="46"/>
        <v>0</v>
      </c>
      <c r="AP82">
        <f t="shared" si="47"/>
        <v>1</v>
      </c>
      <c r="AQ82">
        <f t="shared" si="48"/>
        <v>1</v>
      </c>
      <c r="AR82">
        <f t="shared" si="49"/>
        <v>0</v>
      </c>
      <c r="AS82">
        <f t="shared" si="50"/>
        <v>1</v>
      </c>
      <c r="AT82">
        <f t="shared" si="51"/>
        <v>0</v>
      </c>
      <c r="AU82">
        <f t="shared" si="52"/>
        <v>0</v>
      </c>
      <c r="AV82" s="1">
        <v>5</v>
      </c>
      <c r="AW82">
        <f t="shared" si="53"/>
        <v>2</v>
      </c>
      <c r="AX82">
        <f t="shared" si="54"/>
        <v>3.17</v>
      </c>
      <c r="AY82">
        <f t="shared" si="55"/>
        <v>2.5099999999999998</v>
      </c>
      <c r="AZ82">
        <f t="shared" si="56"/>
        <v>3</v>
      </c>
      <c r="BA82">
        <f t="shared" si="57"/>
        <v>3</v>
      </c>
      <c r="BB82">
        <f t="shared" si="58"/>
        <v>4</v>
      </c>
      <c r="BC82">
        <f t="shared" si="59"/>
        <v>3.34</v>
      </c>
      <c r="BD82">
        <f t="shared" si="60"/>
        <v>4</v>
      </c>
      <c r="BE82">
        <f t="shared" si="61"/>
        <v>3.17</v>
      </c>
      <c r="BF82">
        <f t="shared" si="62"/>
        <v>3.34</v>
      </c>
      <c r="BG82">
        <f t="shared" si="63"/>
        <v>4</v>
      </c>
      <c r="BH82">
        <f t="shared" si="64"/>
        <v>4.17</v>
      </c>
      <c r="BI82">
        <f t="shared" si="65"/>
        <v>4</v>
      </c>
      <c r="BJ82">
        <f t="shared" si="66"/>
        <v>3</v>
      </c>
    </row>
    <row r="83" spans="2:62" x14ac:dyDescent="0.3">
      <c r="B83" s="1">
        <v>6</v>
      </c>
      <c r="C83">
        <v>141</v>
      </c>
      <c r="D83" t="str">
        <v>Jamara</v>
      </c>
      <c r="E83" t="str">
        <v>Brills</v>
      </c>
      <c r="F83" t="str">
        <v>mahoms</v>
      </c>
      <c r="G83" t="str">
        <v>Jamara</v>
      </c>
      <c r="H83" t="str">
        <v>Jamara</v>
      </c>
      <c r="I83" t="str">
        <v>Brills</v>
      </c>
      <c r="J83" t="str">
        <v>HotDog</v>
      </c>
      <c r="K83" t="str">
        <v>Brills</v>
      </c>
      <c r="L83" t="str">
        <v>Jamara</v>
      </c>
      <c r="M83" t="str">
        <v>Jamara</v>
      </c>
      <c r="N83" t="str">
        <v>Jeanty</v>
      </c>
      <c r="O83" t="str">
        <v>Jeanty</v>
      </c>
      <c r="P83" t="str">
        <v>Jamara</v>
      </c>
      <c r="Q83" s="1">
        <v>6</v>
      </c>
      <c r="S83">
        <f t="shared" si="36"/>
        <v>0.5</v>
      </c>
      <c r="T83">
        <f t="shared" si="23"/>
        <v>1</v>
      </c>
      <c r="U83">
        <f t="shared" si="24"/>
        <v>2</v>
      </c>
      <c r="V83">
        <f t="shared" si="25"/>
        <v>2</v>
      </c>
      <c r="W83">
        <f t="shared" si="26"/>
        <v>3</v>
      </c>
      <c r="X83">
        <f t="shared" si="27"/>
        <v>3</v>
      </c>
      <c r="Y83">
        <f t="shared" si="28"/>
        <v>4</v>
      </c>
      <c r="Z83">
        <f t="shared" si="29"/>
        <v>4</v>
      </c>
      <c r="AA83">
        <f t="shared" si="30"/>
        <v>5</v>
      </c>
      <c r="AB83">
        <f t="shared" si="31"/>
        <v>5</v>
      </c>
      <c r="AC83">
        <f t="shared" si="32"/>
        <v>5</v>
      </c>
      <c r="AD83">
        <f t="shared" si="33"/>
        <v>5</v>
      </c>
      <c r="AE83">
        <f t="shared" si="34"/>
        <v>6</v>
      </c>
      <c r="AF83">
        <f t="shared" si="35"/>
        <v>7</v>
      </c>
      <c r="AH83">
        <f t="shared" si="39"/>
        <v>1</v>
      </c>
      <c r="AI83">
        <f t="shared" si="40"/>
        <v>1</v>
      </c>
      <c r="AJ83">
        <f t="shared" si="41"/>
        <v>1</v>
      </c>
      <c r="AK83">
        <f t="shared" si="42"/>
        <v>1</v>
      </c>
      <c r="AL83">
        <f t="shared" si="43"/>
        <v>1</v>
      </c>
      <c r="AM83">
        <f t="shared" si="44"/>
        <v>1</v>
      </c>
      <c r="AN83">
        <f t="shared" si="45"/>
        <v>1</v>
      </c>
      <c r="AO83">
        <f t="shared" si="46"/>
        <v>1</v>
      </c>
      <c r="AP83">
        <f t="shared" si="47"/>
        <v>1</v>
      </c>
      <c r="AQ83">
        <f t="shared" si="48"/>
        <v>0</v>
      </c>
      <c r="AR83">
        <f t="shared" si="49"/>
        <v>0</v>
      </c>
      <c r="AS83">
        <f t="shared" si="50"/>
        <v>0</v>
      </c>
      <c r="AT83">
        <f t="shared" si="51"/>
        <v>0</v>
      </c>
      <c r="AU83">
        <f t="shared" si="52"/>
        <v>0</v>
      </c>
      <c r="AV83" s="1">
        <v>6</v>
      </c>
      <c r="AW83">
        <f t="shared" si="53"/>
        <v>2.17</v>
      </c>
      <c r="AX83">
        <f t="shared" si="54"/>
        <v>3.34</v>
      </c>
      <c r="AY83">
        <f t="shared" si="55"/>
        <v>2.6799999999999997</v>
      </c>
      <c r="AZ83">
        <f t="shared" si="56"/>
        <v>3.17</v>
      </c>
      <c r="BA83">
        <f t="shared" si="57"/>
        <v>3.17</v>
      </c>
      <c r="BB83">
        <f t="shared" si="58"/>
        <v>4.17</v>
      </c>
      <c r="BC83">
        <f t="shared" si="59"/>
        <v>3.51</v>
      </c>
      <c r="BD83">
        <f t="shared" si="60"/>
        <v>4.17</v>
      </c>
      <c r="BE83">
        <f t="shared" si="61"/>
        <v>3.34</v>
      </c>
      <c r="BF83">
        <f t="shared" si="62"/>
        <v>4</v>
      </c>
      <c r="BG83">
        <f t="shared" si="63"/>
        <v>5</v>
      </c>
      <c r="BH83">
        <f t="shared" si="64"/>
        <v>5</v>
      </c>
      <c r="BI83">
        <f t="shared" si="65"/>
        <v>5</v>
      </c>
      <c r="BJ83">
        <f t="shared" si="66"/>
        <v>4</v>
      </c>
    </row>
    <row r="84" spans="2:62" x14ac:dyDescent="0.3">
      <c r="B84" s="1">
        <v>7</v>
      </c>
      <c r="C84" t="str">
        <v>not last</v>
      </c>
      <c r="D84" t="str">
        <v>mahoms</v>
      </c>
      <c r="E84" t="str">
        <v>Jeanty</v>
      </c>
      <c r="F84" t="str">
        <v>Brills</v>
      </c>
      <c r="G84" t="str">
        <v>Brills</v>
      </c>
      <c r="H84" t="str">
        <v>Brills</v>
      </c>
      <c r="I84" t="str">
        <v>mahoms</v>
      </c>
      <c r="J84" t="str">
        <v>Jamara</v>
      </c>
      <c r="K84" t="str">
        <v>mahoms</v>
      </c>
      <c r="L84" t="str">
        <v>Jeanty</v>
      </c>
      <c r="M84" t="str">
        <v>Jeanty</v>
      </c>
      <c r="N84" t="str">
        <v>Jamara</v>
      </c>
      <c r="O84" t="str">
        <v>Jamara</v>
      </c>
      <c r="P84" t="str">
        <v>Jeanty</v>
      </c>
      <c r="Q84" s="1">
        <v>7</v>
      </c>
      <c r="S84">
        <f t="shared" si="36"/>
        <v>0</v>
      </c>
      <c r="T84">
        <f t="shared" si="23"/>
        <v>1</v>
      </c>
      <c r="U84">
        <f t="shared" si="24"/>
        <v>1</v>
      </c>
      <c r="V84">
        <f t="shared" si="25"/>
        <v>2</v>
      </c>
      <c r="W84">
        <f t="shared" si="26"/>
        <v>2</v>
      </c>
      <c r="X84">
        <f t="shared" si="27"/>
        <v>3</v>
      </c>
      <c r="Y84">
        <f t="shared" si="28"/>
        <v>3</v>
      </c>
      <c r="Z84">
        <f t="shared" si="29"/>
        <v>4</v>
      </c>
      <c r="AA84">
        <f t="shared" si="30"/>
        <v>4</v>
      </c>
      <c r="AB84">
        <f t="shared" si="31"/>
        <v>4</v>
      </c>
      <c r="AC84">
        <f t="shared" si="32"/>
        <v>4</v>
      </c>
      <c r="AD84">
        <f t="shared" si="33"/>
        <v>5</v>
      </c>
      <c r="AE84">
        <f t="shared" si="34"/>
        <v>6</v>
      </c>
      <c r="AF84">
        <f t="shared" si="35"/>
        <v>6</v>
      </c>
      <c r="AH84">
        <f t="shared" si="39"/>
        <v>0</v>
      </c>
      <c r="AI84">
        <f t="shared" si="40"/>
        <v>1</v>
      </c>
      <c r="AJ84">
        <f t="shared" si="41"/>
        <v>0</v>
      </c>
      <c r="AK84">
        <f t="shared" si="42"/>
        <v>1</v>
      </c>
      <c r="AL84">
        <f t="shared" si="43"/>
        <v>0</v>
      </c>
      <c r="AM84">
        <f t="shared" si="44"/>
        <v>1</v>
      </c>
      <c r="AN84">
        <f t="shared" si="45"/>
        <v>0</v>
      </c>
      <c r="AO84">
        <f t="shared" si="46"/>
        <v>1</v>
      </c>
      <c r="AP84">
        <f t="shared" si="47"/>
        <v>0</v>
      </c>
      <c r="AQ84">
        <f t="shared" si="48"/>
        <v>0</v>
      </c>
      <c r="AR84">
        <f t="shared" si="49"/>
        <v>0</v>
      </c>
      <c r="AS84">
        <f t="shared" si="50"/>
        <v>1</v>
      </c>
      <c r="AT84">
        <f t="shared" si="51"/>
        <v>1</v>
      </c>
      <c r="AU84">
        <f t="shared" si="52"/>
        <v>0</v>
      </c>
      <c r="AV84" s="1">
        <v>7</v>
      </c>
      <c r="AW84">
        <f t="shared" si="53"/>
        <v>3</v>
      </c>
      <c r="AX84">
        <f t="shared" si="54"/>
        <v>3.51</v>
      </c>
      <c r="AY84">
        <f t="shared" si="55"/>
        <v>3</v>
      </c>
      <c r="AZ84">
        <f t="shared" si="56"/>
        <v>3.34</v>
      </c>
      <c r="BA84">
        <f t="shared" si="57"/>
        <v>4</v>
      </c>
      <c r="BB84">
        <f t="shared" si="58"/>
        <v>4.34</v>
      </c>
      <c r="BC84">
        <f t="shared" si="59"/>
        <v>4</v>
      </c>
      <c r="BD84">
        <f t="shared" si="60"/>
        <v>4.34</v>
      </c>
      <c r="BE84">
        <f t="shared" si="61"/>
        <v>4</v>
      </c>
      <c r="BF84">
        <f t="shared" si="62"/>
        <v>5</v>
      </c>
      <c r="BG84">
        <f t="shared" si="63"/>
        <v>6</v>
      </c>
      <c r="BH84">
        <f t="shared" si="64"/>
        <v>5.17</v>
      </c>
      <c r="BI84">
        <f t="shared" si="65"/>
        <v>5.17</v>
      </c>
      <c r="BJ84">
        <f t="shared" si="66"/>
        <v>5</v>
      </c>
    </row>
    <row r="85" spans="2:62" x14ac:dyDescent="0.3">
      <c r="B85" s="1">
        <v>8</v>
      </c>
      <c r="C85" t="str">
        <v>Bone</v>
      </c>
      <c r="D85">
        <v>141</v>
      </c>
      <c r="E85" t="str">
        <v>Jamara</v>
      </c>
      <c r="F85" t="str">
        <v>Jeanty</v>
      </c>
      <c r="G85" t="str">
        <v>Jeanty</v>
      </c>
      <c r="H85" t="str">
        <v>Jeanty</v>
      </c>
      <c r="I85" t="str">
        <v>Jeanty</v>
      </c>
      <c r="J85" t="str">
        <v>Jeanty</v>
      </c>
      <c r="K85" t="str">
        <v>Jeanty</v>
      </c>
      <c r="L85" t="str">
        <v>mahoms</v>
      </c>
      <c r="M85" t="str">
        <v>mahoms</v>
      </c>
      <c r="N85" t="str">
        <v>not last</v>
      </c>
      <c r="O85">
        <v>141</v>
      </c>
      <c r="P85" t="str">
        <v>not last</v>
      </c>
      <c r="Q85" s="1">
        <v>8</v>
      </c>
      <c r="S85">
        <f t="shared" si="36"/>
        <v>0</v>
      </c>
      <c r="T85">
        <f t="shared" si="23"/>
        <v>0.5</v>
      </c>
      <c r="U85">
        <f t="shared" si="24"/>
        <v>1</v>
      </c>
      <c r="V85">
        <f t="shared" si="25"/>
        <v>1</v>
      </c>
      <c r="W85">
        <f t="shared" si="26"/>
        <v>1</v>
      </c>
      <c r="X85">
        <f t="shared" si="27"/>
        <v>2</v>
      </c>
      <c r="Y85">
        <f t="shared" si="28"/>
        <v>3</v>
      </c>
      <c r="Z85">
        <f t="shared" si="29"/>
        <v>3</v>
      </c>
      <c r="AA85">
        <f t="shared" si="30"/>
        <v>4</v>
      </c>
      <c r="AB85">
        <f t="shared" si="31"/>
        <v>4</v>
      </c>
      <c r="AC85">
        <f t="shared" si="32"/>
        <v>4</v>
      </c>
      <c r="AD85">
        <f t="shared" si="33"/>
        <v>4</v>
      </c>
      <c r="AE85">
        <f t="shared" si="34"/>
        <v>4.5</v>
      </c>
      <c r="AF85">
        <f t="shared" si="35"/>
        <v>5</v>
      </c>
      <c r="AH85">
        <f t="shared" si="39"/>
        <v>1</v>
      </c>
      <c r="AI85">
        <f t="shared" si="40"/>
        <v>0</v>
      </c>
      <c r="AJ85">
        <f t="shared" si="41"/>
        <v>1</v>
      </c>
      <c r="AK85">
        <f t="shared" si="42"/>
        <v>0</v>
      </c>
      <c r="AL85">
        <f t="shared" si="43"/>
        <v>0</v>
      </c>
      <c r="AM85">
        <f t="shared" si="44"/>
        <v>0</v>
      </c>
      <c r="AN85">
        <f t="shared" si="45"/>
        <v>1</v>
      </c>
      <c r="AO85">
        <f t="shared" si="46"/>
        <v>0</v>
      </c>
      <c r="AP85">
        <f t="shared" si="47"/>
        <v>1</v>
      </c>
      <c r="AQ85">
        <f t="shared" si="48"/>
        <v>1</v>
      </c>
      <c r="AR85">
        <f t="shared" si="49"/>
        <v>1</v>
      </c>
      <c r="AS85">
        <f t="shared" si="50"/>
        <v>0</v>
      </c>
      <c r="AT85">
        <f t="shared" si="51"/>
        <v>0</v>
      </c>
      <c r="AU85">
        <f t="shared" si="52"/>
        <v>0</v>
      </c>
      <c r="AV85" s="1">
        <v>8</v>
      </c>
      <c r="AW85">
        <f t="shared" si="53"/>
        <v>3.17</v>
      </c>
      <c r="AX85">
        <f t="shared" si="54"/>
        <v>4</v>
      </c>
      <c r="AY85">
        <f t="shared" si="55"/>
        <v>3.17</v>
      </c>
      <c r="AZ85">
        <f t="shared" si="56"/>
        <v>4</v>
      </c>
      <c r="BA85">
        <f t="shared" si="57"/>
        <v>5</v>
      </c>
      <c r="BB85">
        <f t="shared" si="58"/>
        <v>5</v>
      </c>
      <c r="BC85">
        <f t="shared" si="59"/>
        <v>4.17</v>
      </c>
      <c r="BD85">
        <f t="shared" si="60"/>
        <v>5</v>
      </c>
      <c r="BE85">
        <f t="shared" si="61"/>
        <v>4.17</v>
      </c>
      <c r="BF85">
        <f t="shared" si="62"/>
        <v>5.17</v>
      </c>
      <c r="BG85">
        <f t="shared" si="63"/>
        <v>6.17</v>
      </c>
      <c r="BH85">
        <f t="shared" si="64"/>
        <v>6</v>
      </c>
      <c r="BI85">
        <f t="shared" si="65"/>
        <v>6</v>
      </c>
      <c r="BJ85">
        <f t="shared" si="66"/>
        <v>6</v>
      </c>
    </row>
    <row r="86" spans="2:62" x14ac:dyDescent="0.3">
      <c r="B86" s="1">
        <v>9</v>
      </c>
      <c r="C86" t="str">
        <v>Jamara</v>
      </c>
      <c r="D86" t="str">
        <v>not last</v>
      </c>
      <c r="E86">
        <v>141</v>
      </c>
      <c r="F86">
        <v>141</v>
      </c>
      <c r="G86">
        <v>141</v>
      </c>
      <c r="H86">
        <v>141</v>
      </c>
      <c r="I86">
        <v>141</v>
      </c>
      <c r="J86" t="str">
        <v>not last</v>
      </c>
      <c r="K86">
        <v>141</v>
      </c>
      <c r="L86" t="str">
        <v>not last</v>
      </c>
      <c r="M86">
        <v>141</v>
      </c>
      <c r="N86" t="str">
        <v>mahoms</v>
      </c>
      <c r="O86" t="str">
        <v>not last</v>
      </c>
      <c r="P86">
        <v>141</v>
      </c>
      <c r="Q86" s="1">
        <v>9</v>
      </c>
      <c r="S86">
        <f t="shared" si="36"/>
        <v>0</v>
      </c>
      <c r="T86">
        <f t="shared" si="23"/>
        <v>0</v>
      </c>
      <c r="U86">
        <f t="shared" si="24"/>
        <v>0.5</v>
      </c>
      <c r="V86">
        <f t="shared" si="25"/>
        <v>0.5</v>
      </c>
      <c r="W86">
        <f t="shared" si="26"/>
        <v>0.5</v>
      </c>
      <c r="X86">
        <f t="shared" si="27"/>
        <v>1.5</v>
      </c>
      <c r="Y86">
        <f t="shared" si="28"/>
        <v>1.5</v>
      </c>
      <c r="Z86">
        <f t="shared" si="29"/>
        <v>2</v>
      </c>
      <c r="AA86">
        <f t="shared" si="30"/>
        <v>2.5</v>
      </c>
      <c r="AB86">
        <f t="shared" si="31"/>
        <v>3</v>
      </c>
      <c r="AC86">
        <f t="shared" si="32"/>
        <v>3.5</v>
      </c>
      <c r="AD86">
        <f t="shared" si="33"/>
        <v>4</v>
      </c>
      <c r="AE86">
        <f t="shared" si="34"/>
        <v>4</v>
      </c>
      <c r="AF86">
        <f t="shared" si="35"/>
        <v>4.5</v>
      </c>
      <c r="AH86">
        <f t="shared" si="39"/>
        <v>1</v>
      </c>
      <c r="AI86">
        <f t="shared" si="40"/>
        <v>0</v>
      </c>
      <c r="AJ86">
        <f t="shared" si="41"/>
        <v>0</v>
      </c>
      <c r="AK86">
        <f t="shared" si="42"/>
        <v>0</v>
      </c>
      <c r="AL86">
        <f t="shared" si="43"/>
        <v>0</v>
      </c>
      <c r="AM86">
        <f t="shared" si="44"/>
        <v>0</v>
      </c>
      <c r="AN86">
        <f t="shared" si="45"/>
        <v>0</v>
      </c>
      <c r="AO86">
        <f t="shared" si="46"/>
        <v>0</v>
      </c>
      <c r="AP86">
        <f t="shared" si="47"/>
        <v>0</v>
      </c>
      <c r="AQ86">
        <f t="shared" si="48"/>
        <v>0</v>
      </c>
      <c r="AR86">
        <f t="shared" si="49"/>
        <v>0</v>
      </c>
      <c r="AS86">
        <f t="shared" si="50"/>
        <v>1</v>
      </c>
      <c r="AT86">
        <f t="shared" si="51"/>
        <v>0</v>
      </c>
      <c r="AU86">
        <f t="shared" si="52"/>
        <v>0</v>
      </c>
      <c r="AV86" s="1">
        <v>9</v>
      </c>
      <c r="AW86">
        <f t="shared" si="53"/>
        <v>3.34</v>
      </c>
      <c r="AX86">
        <f t="shared" si="54"/>
        <v>5</v>
      </c>
      <c r="AY86">
        <f t="shared" si="55"/>
        <v>4</v>
      </c>
      <c r="AZ86">
        <f t="shared" si="56"/>
        <v>5</v>
      </c>
      <c r="BA86">
        <f t="shared" si="57"/>
        <v>6</v>
      </c>
      <c r="BB86">
        <f t="shared" si="58"/>
        <v>6</v>
      </c>
      <c r="BC86">
        <f t="shared" si="59"/>
        <v>5</v>
      </c>
      <c r="BD86">
        <f t="shared" si="60"/>
        <v>6</v>
      </c>
      <c r="BE86">
        <f t="shared" si="61"/>
        <v>5</v>
      </c>
      <c r="BF86">
        <f t="shared" si="62"/>
        <v>6</v>
      </c>
      <c r="BG86">
        <f t="shared" si="63"/>
        <v>7</v>
      </c>
      <c r="BH86">
        <f t="shared" si="64"/>
        <v>6.17</v>
      </c>
      <c r="BI86">
        <f t="shared" si="65"/>
        <v>7</v>
      </c>
      <c r="BJ86">
        <f t="shared" si="66"/>
        <v>7</v>
      </c>
    </row>
    <row r="87" spans="2:62" x14ac:dyDescent="0.3">
      <c r="B87" s="1">
        <v>10</v>
      </c>
      <c r="C87" t="str">
        <v>Jeanty</v>
      </c>
      <c r="D87" t="str">
        <v>Jeanty</v>
      </c>
      <c r="E87" t="str">
        <v>not last</v>
      </c>
      <c r="F87" t="str">
        <v>not last</v>
      </c>
      <c r="G87" t="str">
        <v>not last</v>
      </c>
      <c r="H87" t="str">
        <v>not last</v>
      </c>
      <c r="I87" t="str">
        <v>not last</v>
      </c>
      <c r="J87">
        <v>141</v>
      </c>
      <c r="K87" t="str">
        <v>not last</v>
      </c>
      <c r="L87">
        <v>141</v>
      </c>
      <c r="M87" t="str">
        <v>not last</v>
      </c>
      <c r="N87">
        <v>141</v>
      </c>
      <c r="O87" t="str">
        <v>mahoms</v>
      </c>
      <c r="P87" t="str">
        <v>mahoms</v>
      </c>
      <c r="Q87" s="1">
        <v>10</v>
      </c>
      <c r="S87">
        <f t="shared" si="36"/>
        <v>0</v>
      </c>
      <c r="T87">
        <f t="shared" si="23"/>
        <v>0</v>
      </c>
      <c r="U87">
        <f t="shared" si="24"/>
        <v>0</v>
      </c>
      <c r="V87">
        <f t="shared" si="25"/>
        <v>0</v>
      </c>
      <c r="W87">
        <f t="shared" si="26"/>
        <v>0</v>
      </c>
      <c r="X87">
        <f t="shared" si="27"/>
        <v>0</v>
      </c>
      <c r="Y87">
        <f t="shared" si="28"/>
        <v>1</v>
      </c>
      <c r="Z87">
        <f t="shared" si="29"/>
        <v>1.5</v>
      </c>
      <c r="AA87">
        <f t="shared" si="30"/>
        <v>2</v>
      </c>
      <c r="AB87">
        <f t="shared" si="31"/>
        <v>2.5</v>
      </c>
      <c r="AC87">
        <f t="shared" si="32"/>
        <v>3</v>
      </c>
      <c r="AD87">
        <f t="shared" si="33"/>
        <v>3.5</v>
      </c>
      <c r="AE87">
        <f t="shared" si="34"/>
        <v>4</v>
      </c>
      <c r="AF87">
        <f t="shared" si="35"/>
        <v>4</v>
      </c>
      <c r="AH87">
        <f t="shared" si="39"/>
        <v>1</v>
      </c>
      <c r="AI87">
        <f t="shared" si="40"/>
        <v>1</v>
      </c>
      <c r="AJ87">
        <f t="shared" si="41"/>
        <v>0</v>
      </c>
      <c r="AK87">
        <f t="shared" si="42"/>
        <v>0</v>
      </c>
      <c r="AL87">
        <f t="shared" si="43"/>
        <v>0</v>
      </c>
      <c r="AM87">
        <f t="shared" si="44"/>
        <v>0</v>
      </c>
      <c r="AN87">
        <f t="shared" si="45"/>
        <v>0</v>
      </c>
      <c r="AO87">
        <f t="shared" si="46"/>
        <v>0</v>
      </c>
      <c r="AP87">
        <f t="shared" si="47"/>
        <v>0</v>
      </c>
      <c r="AQ87">
        <f t="shared" si="48"/>
        <v>0</v>
      </c>
      <c r="AR87">
        <f t="shared" si="49"/>
        <v>0</v>
      </c>
      <c r="AS87">
        <f t="shared" si="50"/>
        <v>0</v>
      </c>
      <c r="AT87">
        <f t="shared" si="51"/>
        <v>1</v>
      </c>
      <c r="AU87">
        <f t="shared" si="52"/>
        <v>0</v>
      </c>
      <c r="AV87" s="1">
        <v>10</v>
      </c>
      <c r="AW87">
        <f t="shared" si="53"/>
        <v>3.51</v>
      </c>
      <c r="AX87">
        <f t="shared" si="54"/>
        <v>5.17</v>
      </c>
      <c r="AY87">
        <f t="shared" si="55"/>
        <v>5</v>
      </c>
      <c r="AZ87">
        <f t="shared" si="56"/>
        <v>6</v>
      </c>
      <c r="BA87">
        <f t="shared" si="57"/>
        <v>7</v>
      </c>
      <c r="BB87">
        <f t="shared" si="58"/>
        <v>7</v>
      </c>
      <c r="BC87">
        <f t="shared" si="59"/>
        <v>6</v>
      </c>
      <c r="BD87">
        <f t="shared" si="60"/>
        <v>7</v>
      </c>
      <c r="BE87">
        <f t="shared" si="61"/>
        <v>6</v>
      </c>
      <c r="BF87">
        <f t="shared" si="62"/>
        <v>7</v>
      </c>
      <c r="BG87">
        <f t="shared" si="63"/>
        <v>8</v>
      </c>
      <c r="BH87">
        <f t="shared" si="64"/>
        <v>7</v>
      </c>
      <c r="BI87">
        <f t="shared" si="65"/>
        <v>7.17</v>
      </c>
      <c r="BJ87">
        <f t="shared" si="66"/>
        <v>8</v>
      </c>
    </row>
    <row r="89" spans="2:62" x14ac:dyDescent="0.3">
      <c r="B89" t="s">
        <v>10</v>
      </c>
      <c r="C89" s="1">
        <v>15</v>
      </c>
      <c r="D89" s="1">
        <v>14</v>
      </c>
      <c r="E89" s="1">
        <v>13</v>
      </c>
      <c r="F89" s="1">
        <v>12</v>
      </c>
      <c r="G89" s="1">
        <v>11</v>
      </c>
      <c r="H89" s="1">
        <v>10</v>
      </c>
      <c r="I89" s="1">
        <v>9</v>
      </c>
      <c r="J89" s="1">
        <v>8</v>
      </c>
      <c r="K89" s="1">
        <v>7</v>
      </c>
      <c r="L89" s="1">
        <v>6</v>
      </c>
      <c r="M89" s="1">
        <v>5</v>
      </c>
      <c r="N89" s="1">
        <v>4</v>
      </c>
      <c r="O89" s="1">
        <v>3</v>
      </c>
      <c r="P89" s="1">
        <v>2</v>
      </c>
      <c r="R89" t="s">
        <v>15</v>
      </c>
      <c r="Y89" t="s">
        <v>16</v>
      </c>
    </row>
    <row r="90" spans="2:62" x14ac:dyDescent="0.3">
      <c r="B90" t="str">
        <f>B2</f>
        <v>Bone</v>
      </c>
      <c r="C90" s="2">
        <f>VLOOKUP($B90,C$78:$Q$87,C$89,FALSE)</f>
        <v>8</v>
      </c>
      <c r="D90" s="2">
        <f>VLOOKUP($B90,D$78:$Q$87,D$89,FALSE)</f>
        <v>4</v>
      </c>
      <c r="E90" s="2">
        <f>VLOOKUP($B90,E$78:$Q$87,E$89,FALSE)</f>
        <v>2</v>
      </c>
      <c r="F90" s="2">
        <f>VLOOKUP($B90,F$78:$Q$87,F$89,FALSE)</f>
        <v>4</v>
      </c>
      <c r="G90" s="2">
        <f>VLOOKUP($B90,G$78:$Q$87,G$89,FALSE)</f>
        <v>3</v>
      </c>
      <c r="H90" s="2">
        <f>VLOOKUP($B90,H$78:$Q$87,H$89,FALSE)</f>
        <v>3</v>
      </c>
      <c r="I90" s="2">
        <f>VLOOKUP($B90,I$78:$Q$87,I$89,FALSE)</f>
        <v>4</v>
      </c>
      <c r="J90" s="2">
        <f>VLOOKUP($B90,J$78:$Q$87,J$89,FALSE)</f>
        <v>3</v>
      </c>
      <c r="K90" s="2">
        <f>VLOOKUP($B90,K$78:$Q$87,K$89,FALSE)</f>
        <v>2</v>
      </c>
      <c r="L90" s="2">
        <f>VLOOKUP($B90,L$78:$Q$87,L$89,FALSE)</f>
        <v>3</v>
      </c>
      <c r="M90" s="2">
        <f>VLOOKUP($B90,M$78:$Q$87,M$89,FALSE)</f>
        <v>5</v>
      </c>
      <c r="N90" s="2">
        <f>VLOOKUP($B90,N$78:$Q$87,N$89,FALSE)</f>
        <v>4</v>
      </c>
      <c r="O90" s="2">
        <f>VLOOKUP($B90,O$78:$Q$87,O$89,FALSE)</f>
        <v>5</v>
      </c>
      <c r="P90" s="2">
        <f>VLOOKUP($B90,P$78:$Q$87,P$89,FALSE)</f>
        <v>5</v>
      </c>
      <c r="R90" s="2" t="str">
        <f>_xlfn.CONCAT("[",_xlfn.TEXTJOIN(", ",TRUE, C90:P90), "]")</f>
        <v>[8, 4, 2, 4, 3, 3, 4, 3, 2, 3, 5, 4, 5, 5]</v>
      </c>
      <c r="Y90" t="str">
        <f>_xlfn.CONCAT("[",_xlfn.TEXTJOIN(", ",TRUE, R90:R99), "]")</f>
        <v>[[8, 4, 2, 4, 3, 3, 4, 3, 2, 3, 5, 4, 5, 5], [7, 9, 10, 10, 10, 10, 10, 9, 10, 9, 10, 8, 9, 8], [10, 10, 7, 8, 8, 8, 8, 8, 8, 7, 7, 6, 6, 7], [2, 7, 4, 6, 5, 5, 7, 5, 7, 8, 8, 9, 10, 10], [9, 6, 8, 5, 6, 6, 5, 7, 5, 6, 6, 7, 7, 6], [5, 3, 1, 1, 4, 2, 1, 2, 3, 2, 2, 3, 4, 4], [3, 1, 5, 2, 1, 1, 2, 1, 1, 1, 1, 1, 1, 1], [1, 5, 3, 3, 2, 4, 3, 6, 4, 4, 3, 5, 3, 2], [6, 8, 9, 9, 9, 9, 9, 10, 9, 10, 9, 10, 8, 9], [4, 2, 6, 7, 7, 7, 6, 4, 6, 5, 4, 2, 2, 3]]</v>
      </c>
    </row>
    <row r="91" spans="2:62" x14ac:dyDescent="0.3">
      <c r="B91" t="str">
        <f t="shared" ref="B91:B99" si="67">B3</f>
        <v>not last</v>
      </c>
      <c r="C91" s="2">
        <f>VLOOKUP($B91,C$78:$Q$87,C$89,FALSE)</f>
        <v>7</v>
      </c>
      <c r="D91" s="2">
        <f>VLOOKUP($B91,D$78:$Q$87,D$89,FALSE)</f>
        <v>9</v>
      </c>
      <c r="E91" s="2">
        <f>VLOOKUP($B91,E$78:$Q$87,E$89,FALSE)</f>
        <v>10</v>
      </c>
      <c r="F91" s="2">
        <f>VLOOKUP($B91,F$78:$Q$87,F$89,FALSE)</f>
        <v>10</v>
      </c>
      <c r="G91" s="2">
        <f>VLOOKUP($B91,G$78:$Q$87,G$89,FALSE)</f>
        <v>10</v>
      </c>
      <c r="H91" s="2">
        <f>VLOOKUP($B91,H$78:$Q$87,H$89,FALSE)</f>
        <v>10</v>
      </c>
      <c r="I91" s="2">
        <f>VLOOKUP($B91,I$78:$Q$87,I$89,FALSE)</f>
        <v>10</v>
      </c>
      <c r="J91" s="2">
        <f>VLOOKUP($B91,J$78:$Q$87,J$89,FALSE)</f>
        <v>9</v>
      </c>
      <c r="K91" s="2">
        <f>VLOOKUP($B91,K$78:$Q$87,K$89,FALSE)</f>
        <v>10</v>
      </c>
      <c r="L91" s="2">
        <f>VLOOKUP($B91,L$78:$Q$87,L$89,FALSE)</f>
        <v>9</v>
      </c>
      <c r="M91" s="2">
        <f>VLOOKUP($B91,M$78:$Q$87,M$89,FALSE)</f>
        <v>10</v>
      </c>
      <c r="N91" s="2">
        <f>VLOOKUP($B91,N$78:$Q$87,N$89,FALSE)</f>
        <v>8</v>
      </c>
      <c r="O91" s="2">
        <f>VLOOKUP($B91,O$78:$Q$87,O$89,FALSE)</f>
        <v>9</v>
      </c>
      <c r="P91" s="2">
        <f>VLOOKUP($B91,P$78:$Q$87,P$89,FALSE)</f>
        <v>8</v>
      </c>
      <c r="R91" s="2" t="str">
        <f t="shared" ref="R91:R111" si="68">_xlfn.CONCAT("[",_xlfn.TEXTJOIN(", ",TRUE, C91:P91), "]")</f>
        <v>[7, 9, 10, 10, 10, 10, 10, 9, 10, 9, 10, 8, 9, 8]</v>
      </c>
    </row>
    <row r="92" spans="2:62" x14ac:dyDescent="0.3">
      <c r="B92" t="str">
        <f t="shared" si="67"/>
        <v>Jeanty</v>
      </c>
      <c r="C92" s="2">
        <f>VLOOKUP($B92,C$78:$Q$87,C$89,FALSE)</f>
        <v>10</v>
      </c>
      <c r="D92" s="2">
        <f>VLOOKUP($B92,D$78:$Q$87,D$89,FALSE)</f>
        <v>10</v>
      </c>
      <c r="E92" s="2">
        <f>VLOOKUP($B92,E$78:$Q$87,E$89,FALSE)</f>
        <v>7</v>
      </c>
      <c r="F92" s="2">
        <f>VLOOKUP($B92,F$78:$Q$87,F$89,FALSE)</f>
        <v>8</v>
      </c>
      <c r="G92" s="2">
        <f>VLOOKUP($B92,G$78:$Q$87,G$89,FALSE)</f>
        <v>8</v>
      </c>
      <c r="H92" s="2">
        <f>VLOOKUP($B92,H$78:$Q$87,H$89,FALSE)</f>
        <v>8</v>
      </c>
      <c r="I92" s="2">
        <f>VLOOKUP($B92,I$78:$Q$87,I$89,FALSE)</f>
        <v>8</v>
      </c>
      <c r="J92" s="2">
        <f>VLOOKUP($B92,J$78:$Q$87,J$89,FALSE)</f>
        <v>8</v>
      </c>
      <c r="K92" s="2">
        <f>VLOOKUP($B92,K$78:$Q$87,K$89,FALSE)</f>
        <v>8</v>
      </c>
      <c r="L92" s="2">
        <f>VLOOKUP($B92,L$78:$Q$87,L$89,FALSE)</f>
        <v>7</v>
      </c>
      <c r="M92" s="2">
        <f>VLOOKUP($B92,M$78:$Q$87,M$89,FALSE)</f>
        <v>7</v>
      </c>
      <c r="N92" s="2">
        <f>VLOOKUP($B92,N$78:$Q$87,N$89,FALSE)</f>
        <v>6</v>
      </c>
      <c r="O92" s="2">
        <f>VLOOKUP($B92,O$78:$Q$87,O$89,FALSE)</f>
        <v>6</v>
      </c>
      <c r="P92" s="2">
        <f>VLOOKUP($B92,P$78:$Q$87,P$89,FALSE)</f>
        <v>7</v>
      </c>
      <c r="R92" s="2" t="str">
        <f t="shared" si="68"/>
        <v>[10, 10, 7, 8, 8, 8, 8, 8, 8, 7, 7, 6, 6, 7]</v>
      </c>
    </row>
    <row r="93" spans="2:62" x14ac:dyDescent="0.3">
      <c r="B93" t="str">
        <f t="shared" si="67"/>
        <v>mahoms</v>
      </c>
      <c r="C93" s="2">
        <f>VLOOKUP($B93,C$78:$Q$87,C$89,FALSE)</f>
        <v>2</v>
      </c>
      <c r="D93" s="2">
        <f>VLOOKUP($B93,D$78:$Q$87,D$89,FALSE)</f>
        <v>7</v>
      </c>
      <c r="E93" s="2">
        <f>VLOOKUP($B93,E$78:$Q$87,E$89,FALSE)</f>
        <v>4</v>
      </c>
      <c r="F93" s="2">
        <f>VLOOKUP($B93,F$78:$Q$87,F$89,FALSE)</f>
        <v>6</v>
      </c>
      <c r="G93" s="2">
        <f>VLOOKUP($B93,G$78:$Q$87,G$89,FALSE)</f>
        <v>5</v>
      </c>
      <c r="H93" s="2">
        <f>VLOOKUP($B93,H$78:$Q$87,H$89,FALSE)</f>
        <v>5</v>
      </c>
      <c r="I93" s="2">
        <f>VLOOKUP($B93,I$78:$Q$87,I$89,FALSE)</f>
        <v>7</v>
      </c>
      <c r="J93" s="2">
        <f>VLOOKUP($B93,J$78:$Q$87,J$89,FALSE)</f>
        <v>5</v>
      </c>
      <c r="K93" s="2">
        <f>VLOOKUP($B93,K$78:$Q$87,K$89,FALSE)</f>
        <v>7</v>
      </c>
      <c r="L93" s="2">
        <f>VLOOKUP($B93,L$78:$Q$87,L$89,FALSE)</f>
        <v>8</v>
      </c>
      <c r="M93" s="2">
        <f>VLOOKUP($B93,M$78:$Q$87,M$89,FALSE)</f>
        <v>8</v>
      </c>
      <c r="N93" s="2">
        <f>VLOOKUP($B93,N$78:$Q$87,N$89,FALSE)</f>
        <v>9</v>
      </c>
      <c r="O93" s="2">
        <f>VLOOKUP($B93,O$78:$Q$87,O$89,FALSE)</f>
        <v>10</v>
      </c>
      <c r="P93" s="2">
        <f>VLOOKUP($B93,P$78:$Q$87,P$89,FALSE)</f>
        <v>10</v>
      </c>
      <c r="R93" s="2" t="str">
        <f t="shared" si="68"/>
        <v>[2, 7, 4, 6, 5, 5, 7, 5, 7, 8, 8, 9, 10, 10]</v>
      </c>
    </row>
    <row r="94" spans="2:62" x14ac:dyDescent="0.3">
      <c r="B94" t="str">
        <f t="shared" si="67"/>
        <v>Jamara</v>
      </c>
      <c r="C94" s="2">
        <f>VLOOKUP($B94,C$78:$Q$87,C$89,FALSE)</f>
        <v>9</v>
      </c>
      <c r="D94" s="2">
        <f>VLOOKUP($B94,D$78:$Q$87,D$89,FALSE)</f>
        <v>6</v>
      </c>
      <c r="E94" s="2">
        <f>VLOOKUP($B94,E$78:$Q$87,E$89,FALSE)</f>
        <v>8</v>
      </c>
      <c r="F94" s="2">
        <f>VLOOKUP($B94,F$78:$Q$87,F$89,FALSE)</f>
        <v>5</v>
      </c>
      <c r="G94" s="2">
        <f>VLOOKUP($B94,G$78:$Q$87,G$89,FALSE)</f>
        <v>6</v>
      </c>
      <c r="H94" s="2">
        <f>VLOOKUP($B94,H$78:$Q$87,H$89,FALSE)</f>
        <v>6</v>
      </c>
      <c r="I94" s="2">
        <f>VLOOKUP($B94,I$78:$Q$87,I$89,FALSE)</f>
        <v>5</v>
      </c>
      <c r="J94" s="2">
        <f>VLOOKUP($B94,J$78:$Q$87,J$89,FALSE)</f>
        <v>7</v>
      </c>
      <c r="K94" s="2">
        <f>VLOOKUP($B94,K$78:$Q$87,K$89,FALSE)</f>
        <v>5</v>
      </c>
      <c r="L94" s="2">
        <f>VLOOKUP($B94,L$78:$Q$87,L$89,FALSE)</f>
        <v>6</v>
      </c>
      <c r="M94" s="2">
        <f>VLOOKUP($B94,M$78:$Q$87,M$89,FALSE)</f>
        <v>6</v>
      </c>
      <c r="N94" s="2">
        <f>VLOOKUP($B94,N$78:$Q$87,N$89,FALSE)</f>
        <v>7</v>
      </c>
      <c r="O94" s="2">
        <f>VLOOKUP($B94,O$78:$Q$87,O$89,FALSE)</f>
        <v>7</v>
      </c>
      <c r="P94" s="2">
        <f>VLOOKUP($B94,P$78:$Q$87,P$89,FALSE)</f>
        <v>6</v>
      </c>
      <c r="R94" s="2" t="str">
        <f t="shared" si="68"/>
        <v>[9, 6, 8, 5, 6, 6, 5, 7, 5, 6, 6, 7, 7, 6]</v>
      </c>
      <c r="Y94" t="s">
        <v>208</v>
      </c>
    </row>
    <row r="95" spans="2:62" x14ac:dyDescent="0.3">
      <c r="B95" t="str">
        <f t="shared" si="67"/>
        <v>johnathan</v>
      </c>
      <c r="C95" s="2">
        <f>VLOOKUP($B95,C$78:$Q$87,C$89,FALSE)</f>
        <v>5</v>
      </c>
      <c r="D95" s="2">
        <f>VLOOKUP($B95,D$78:$Q$87,D$89,FALSE)</f>
        <v>3</v>
      </c>
      <c r="E95" s="2">
        <f>VLOOKUP($B95,E$78:$Q$87,E$89,FALSE)</f>
        <v>1</v>
      </c>
      <c r="F95" s="2">
        <f>VLOOKUP($B95,F$78:$Q$87,F$89,FALSE)</f>
        <v>1</v>
      </c>
      <c r="G95" s="2">
        <f>VLOOKUP($B95,G$78:$Q$87,G$89,FALSE)</f>
        <v>4</v>
      </c>
      <c r="H95" s="2">
        <f>VLOOKUP($B95,H$78:$Q$87,H$89,FALSE)</f>
        <v>2</v>
      </c>
      <c r="I95" s="2">
        <f>VLOOKUP($B95,I$78:$Q$87,I$89,FALSE)</f>
        <v>1</v>
      </c>
      <c r="J95" s="2">
        <f>VLOOKUP($B95,J$78:$Q$87,J$89,FALSE)</f>
        <v>2</v>
      </c>
      <c r="K95" s="2">
        <f>VLOOKUP($B95,K$78:$Q$87,K$89,FALSE)</f>
        <v>3</v>
      </c>
      <c r="L95" s="2">
        <f>VLOOKUP($B95,L$78:$Q$87,L$89,FALSE)</f>
        <v>2</v>
      </c>
      <c r="M95" s="2">
        <f>VLOOKUP($B95,M$78:$Q$87,M$89,FALSE)</f>
        <v>2</v>
      </c>
      <c r="N95" s="2">
        <f>VLOOKUP($B95,N$78:$Q$87,N$89,FALSE)</f>
        <v>3</v>
      </c>
      <c r="O95" s="2">
        <f>VLOOKUP($B95,O$78:$Q$87,O$89,FALSE)</f>
        <v>4</v>
      </c>
      <c r="P95" s="2">
        <f>VLOOKUP($B95,P$78:$Q$87,P$89,FALSE)</f>
        <v>4</v>
      </c>
      <c r="R95" s="2" t="str">
        <f t="shared" si="68"/>
        <v>[5, 3, 1, 1, 4, 2, 1, 2, 3, 2, 2, 3, 4, 4]</v>
      </c>
    </row>
    <row r="96" spans="2:62" x14ac:dyDescent="0.3">
      <c r="B96" t="str">
        <f t="shared" si="67"/>
        <v>chiefs</v>
      </c>
      <c r="C96" s="2">
        <f>VLOOKUP($B96,C$78:$Q$87,C$89,FALSE)</f>
        <v>3</v>
      </c>
      <c r="D96" s="2">
        <f>VLOOKUP($B96,D$78:$Q$87,D$89,FALSE)</f>
        <v>1</v>
      </c>
      <c r="E96" s="2">
        <f>VLOOKUP($B96,E$78:$Q$87,E$89,FALSE)</f>
        <v>5</v>
      </c>
      <c r="F96" s="2">
        <f>VLOOKUP($B96,F$78:$Q$87,F$89,FALSE)</f>
        <v>2</v>
      </c>
      <c r="G96" s="2">
        <f>VLOOKUP($B96,G$78:$Q$87,G$89,FALSE)</f>
        <v>1</v>
      </c>
      <c r="H96" s="2">
        <f>VLOOKUP($B96,H$78:$Q$87,H$89,FALSE)</f>
        <v>1</v>
      </c>
      <c r="I96" s="2">
        <f>VLOOKUP($B96,I$78:$Q$87,I$89,FALSE)</f>
        <v>2</v>
      </c>
      <c r="J96" s="2">
        <f>VLOOKUP($B96,J$78:$Q$87,J$89,FALSE)</f>
        <v>1</v>
      </c>
      <c r="K96" s="2">
        <f>VLOOKUP($B96,K$78:$Q$87,K$89,FALSE)</f>
        <v>1</v>
      </c>
      <c r="L96" s="2">
        <f>VLOOKUP($B96,L$78:$Q$87,L$89,FALSE)</f>
        <v>1</v>
      </c>
      <c r="M96" s="2">
        <f>VLOOKUP($B96,M$78:$Q$87,M$89,FALSE)</f>
        <v>1</v>
      </c>
      <c r="N96" s="2">
        <f>VLOOKUP($B96,N$78:$Q$87,N$89,FALSE)</f>
        <v>1</v>
      </c>
      <c r="O96" s="2">
        <f>VLOOKUP($B96,O$78:$Q$87,O$89,FALSE)</f>
        <v>1</v>
      </c>
      <c r="P96" s="2">
        <f>VLOOKUP($B96,P$78:$Q$87,P$89,FALSE)</f>
        <v>1</v>
      </c>
      <c r="R96" s="2" t="str">
        <f t="shared" si="68"/>
        <v>[3, 1, 5, 2, 1, 1, 2, 1, 1, 1, 1, 1, 1, 1]</v>
      </c>
    </row>
    <row r="97" spans="2:25" x14ac:dyDescent="0.3">
      <c r="B97" t="str">
        <f t="shared" si="67"/>
        <v>HotDog</v>
      </c>
      <c r="C97" s="2">
        <f>VLOOKUP($B97,C$78:$Q$87,C$89,FALSE)</f>
        <v>1</v>
      </c>
      <c r="D97" s="2">
        <f>VLOOKUP($B97,D$78:$Q$87,D$89,FALSE)</f>
        <v>5</v>
      </c>
      <c r="E97" s="2">
        <f>VLOOKUP($B97,E$78:$Q$87,E$89,FALSE)</f>
        <v>3</v>
      </c>
      <c r="F97" s="2">
        <f>VLOOKUP($B97,F$78:$Q$87,F$89,FALSE)</f>
        <v>3</v>
      </c>
      <c r="G97" s="2">
        <f>VLOOKUP($B97,G$78:$Q$87,G$89,FALSE)</f>
        <v>2</v>
      </c>
      <c r="H97" s="2">
        <f>VLOOKUP($B97,H$78:$Q$87,H$89,FALSE)</f>
        <v>4</v>
      </c>
      <c r="I97" s="2">
        <f>VLOOKUP($B97,I$78:$Q$87,I$89,FALSE)</f>
        <v>3</v>
      </c>
      <c r="J97" s="2">
        <f>VLOOKUP($B97,J$78:$Q$87,J$89,FALSE)</f>
        <v>6</v>
      </c>
      <c r="K97" s="2">
        <f>VLOOKUP($B97,K$78:$Q$87,K$89,FALSE)</f>
        <v>4</v>
      </c>
      <c r="L97" s="2">
        <f>VLOOKUP($B97,L$78:$Q$87,L$89,FALSE)</f>
        <v>4</v>
      </c>
      <c r="M97" s="2">
        <f>VLOOKUP($B97,M$78:$Q$87,M$89,FALSE)</f>
        <v>3</v>
      </c>
      <c r="N97" s="2">
        <f>VLOOKUP($B97,N$78:$Q$87,N$89,FALSE)</f>
        <v>5</v>
      </c>
      <c r="O97" s="2">
        <f>VLOOKUP($B97,O$78:$Q$87,O$89,FALSE)</f>
        <v>3</v>
      </c>
      <c r="P97" s="2">
        <f>VLOOKUP($B97,P$78:$Q$87,P$89,FALSE)</f>
        <v>2</v>
      </c>
      <c r="R97" s="2" t="str">
        <f t="shared" si="68"/>
        <v>[1, 5, 3, 3, 2, 4, 3, 6, 4, 4, 3, 5, 3, 2]</v>
      </c>
    </row>
    <row r="98" spans="2:25" x14ac:dyDescent="0.3">
      <c r="B98">
        <f t="shared" si="67"/>
        <v>141</v>
      </c>
      <c r="C98" s="2">
        <f>VLOOKUP($B98,C$78:$Q$87,C$89,FALSE)</f>
        <v>6</v>
      </c>
      <c r="D98" s="2">
        <f>VLOOKUP($B98,D$78:$Q$87,D$89,FALSE)</f>
        <v>8</v>
      </c>
      <c r="E98" s="2">
        <f>VLOOKUP($B98,E$78:$Q$87,E$89,FALSE)</f>
        <v>9</v>
      </c>
      <c r="F98" s="2">
        <f>VLOOKUP($B98,F$78:$Q$87,F$89,FALSE)</f>
        <v>9</v>
      </c>
      <c r="G98" s="2">
        <f>VLOOKUP($B98,G$78:$Q$87,G$89,FALSE)</f>
        <v>9</v>
      </c>
      <c r="H98" s="2">
        <f>VLOOKUP($B98,H$78:$Q$87,H$89,FALSE)</f>
        <v>9</v>
      </c>
      <c r="I98" s="2">
        <f>VLOOKUP($B98,I$78:$Q$87,I$89,FALSE)</f>
        <v>9</v>
      </c>
      <c r="J98" s="2">
        <f>VLOOKUP($B98,J$78:$Q$87,J$89,FALSE)</f>
        <v>10</v>
      </c>
      <c r="K98" s="2">
        <f>VLOOKUP($B98,K$78:$Q$87,K$89,FALSE)</f>
        <v>9</v>
      </c>
      <c r="L98" s="2">
        <f>VLOOKUP($B98,L$78:$Q$87,L$89,FALSE)</f>
        <v>10</v>
      </c>
      <c r="M98" s="2">
        <f>VLOOKUP($B98,M$78:$Q$87,M$89,FALSE)</f>
        <v>9</v>
      </c>
      <c r="N98" s="2">
        <f>VLOOKUP($B98,N$78:$Q$87,N$89,FALSE)</f>
        <v>10</v>
      </c>
      <c r="O98" s="2">
        <f>VLOOKUP($B98,O$78:$Q$87,O$89,FALSE)</f>
        <v>8</v>
      </c>
      <c r="P98" s="2">
        <f>VLOOKUP($B98,P$78:$Q$87,P$89,FALSE)</f>
        <v>9</v>
      </c>
      <c r="R98" s="2" t="str">
        <f t="shared" si="68"/>
        <v>[6, 8, 9, 9, 9, 9, 9, 10, 9, 10, 9, 10, 8, 9]</v>
      </c>
    </row>
    <row r="99" spans="2:25" x14ac:dyDescent="0.3">
      <c r="B99" t="str">
        <f t="shared" si="67"/>
        <v>Brills</v>
      </c>
      <c r="C99" s="2">
        <f>VLOOKUP($B99,C$78:$Q$87,C$89,FALSE)</f>
        <v>4</v>
      </c>
      <c r="D99" s="2">
        <f>VLOOKUP($B99,D$78:$Q$87,D$89,FALSE)</f>
        <v>2</v>
      </c>
      <c r="E99" s="2">
        <f>VLOOKUP($B99,E$78:$Q$87,E$89,FALSE)</f>
        <v>6</v>
      </c>
      <c r="F99" s="2">
        <f>VLOOKUP($B99,F$78:$Q$87,F$89,FALSE)</f>
        <v>7</v>
      </c>
      <c r="G99" s="2">
        <f>VLOOKUP($B99,G$78:$Q$87,G$89,FALSE)</f>
        <v>7</v>
      </c>
      <c r="H99" s="2">
        <f>VLOOKUP($B99,H$78:$Q$87,H$89,FALSE)</f>
        <v>7</v>
      </c>
      <c r="I99" s="2">
        <f>VLOOKUP($B99,I$78:$Q$87,I$89,FALSE)</f>
        <v>6</v>
      </c>
      <c r="J99" s="2">
        <f>VLOOKUP($B99,J$78:$Q$87,J$89,FALSE)</f>
        <v>4</v>
      </c>
      <c r="K99" s="2">
        <f>VLOOKUP($B99,K$78:$Q$87,K$89,FALSE)</f>
        <v>6</v>
      </c>
      <c r="L99" s="2">
        <f>VLOOKUP($B99,L$78:$Q$87,L$89,FALSE)</f>
        <v>5</v>
      </c>
      <c r="M99" s="2">
        <f>VLOOKUP($B99,M$78:$Q$87,M$89,FALSE)</f>
        <v>4</v>
      </c>
      <c r="N99" s="2">
        <f>VLOOKUP($B99,N$78:$Q$87,N$89,FALSE)</f>
        <v>2</v>
      </c>
      <c r="O99" s="2">
        <f>VLOOKUP($B99,O$78:$Q$87,O$89,FALSE)</f>
        <v>2</v>
      </c>
      <c r="P99" s="2">
        <f>VLOOKUP($B99,P$78:$Q$87,P$89,FALSE)</f>
        <v>3</v>
      </c>
      <c r="R99" s="2" t="str">
        <f t="shared" si="68"/>
        <v>[4, 2, 6, 7, 7, 7, 6, 4, 6, 5, 4, 2, 2, 3]</v>
      </c>
    </row>
    <row r="100" spans="2:25" x14ac:dyDescent="0.3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R100" s="2"/>
    </row>
    <row r="101" spans="2:25" x14ac:dyDescent="0.3">
      <c r="B101" t="s">
        <v>12</v>
      </c>
      <c r="R101" s="2"/>
    </row>
    <row r="102" spans="2:25" x14ac:dyDescent="0.3">
      <c r="B102" t="str">
        <f>B2</f>
        <v>Bone</v>
      </c>
      <c r="C102" s="2">
        <f>VLOOKUP($B102,C$78:$BJ$87,47,FALSE)</f>
        <v>3.17</v>
      </c>
      <c r="D102" s="2">
        <f>VLOOKUP($B102,D$78:$BJ$87,47,FALSE)</f>
        <v>3</v>
      </c>
      <c r="E102" s="2">
        <f>VLOOKUP($B102,E$78:$BJ$87,47,FALSE)</f>
        <v>2</v>
      </c>
      <c r="F102" s="2">
        <f>VLOOKUP($B102,F$78:$BJ$87,47,FALSE)</f>
        <v>2.34</v>
      </c>
      <c r="G102" s="2">
        <f>VLOOKUP($B102,G$78:$BJ$87,47,FALSE)</f>
        <v>1.3399999999999999</v>
      </c>
      <c r="H102" s="2">
        <f>VLOOKUP($B102,H$78:$BJ$87,47,FALSE)</f>
        <v>3</v>
      </c>
      <c r="I102" s="2">
        <f>VLOOKUP($B102,I$78:$BJ$87,47,FALSE)</f>
        <v>3.17</v>
      </c>
      <c r="J102" s="2">
        <f>VLOOKUP($B102,J$78:$BJ$87,47,FALSE)</f>
        <v>3</v>
      </c>
      <c r="K102" s="2">
        <f>VLOOKUP($B102,K$78:$BJ$87,47,FALSE)</f>
        <v>1.17</v>
      </c>
      <c r="L102" s="2">
        <f>VLOOKUP($B102,L$78:$BJ$87,47,FALSE)</f>
        <v>3</v>
      </c>
      <c r="M102" s="2">
        <f>VLOOKUP($B102,M$78:$BJ$87,47,FALSE)</f>
        <v>4</v>
      </c>
      <c r="N102" s="2">
        <f>VLOOKUP($B102,N$78:$BJ$87,47,FALSE)</f>
        <v>4</v>
      </c>
      <c r="O102" s="2">
        <f>VLOOKUP($B102,O$78:$BJ$87,47,FALSE)</f>
        <v>4</v>
      </c>
      <c r="P102" s="2">
        <f>VLOOKUP($B102,P$78:$BJ$87,47,FALSE)</f>
        <v>3</v>
      </c>
      <c r="R102" s="2" t="str">
        <f t="shared" si="68"/>
        <v>[3.17, 3, 2, 2.34, 1.34, 3, 3.17, 3, 1.17, 3, 4, 4, 4, 3]</v>
      </c>
      <c r="Y102" t="str">
        <f>_xlfn.CONCAT("[",_xlfn.TEXTJOIN(", ",TRUE, R102:R111), "];")</f>
        <v>[[3.17, 3, 2, 2.34, 1.34, 3, 3.17, 3, 1.17, 3, 4, 4, 4, 3], [3, 5, 5, 6, 7, 7, 6, 6, 6, 6, 8, 6, 7, 6], [3.51, 5.17, 3, 4, 5, 5, 4.17, 5, 4.17, 5, 6, 5, 5, 5], [1.17, 3.51, 2.34, 3.17, 3, 4, 4, 4, 4, 5.17, 6.17, 6.17, 7.17, 8], [3.34, 3.34, 3.17, 3, 3.17, 4.17, 3.34, 4.34, 3.17, 4, 5, 5.17, 5.17, 4], [2, 2, 1, 1, 2, 2, 1, 2, 2, 2, 2, 3, 3, 2], [1.34, 1, 2.51, 2, 1, 1, 2, 1, 1, 1, 1, 1, 1, 1], [1, 3.17, 2.17, 2.17, 1.17, 3.17, 3, 4.17, 3, 3.17, 3, 4.17, 2, 1.17], [2.17, 4, 4, 5, 6, 6, 5, 7, 5, 7, 7, 7, 6, 7], [1.51, 1.17, 2.68, 3.34, 4, 4.34, 3.51, 3.17, 3.34, 3.34, 3.17, 2, 1.17, 1.34]];</v>
      </c>
    </row>
    <row r="103" spans="2:25" x14ac:dyDescent="0.3">
      <c r="B103" t="str">
        <f t="shared" ref="B103:B111" si="69">B3</f>
        <v>not last</v>
      </c>
      <c r="C103" s="2">
        <f>VLOOKUP($B103,C$78:$BJ$87,47,FALSE)</f>
        <v>3</v>
      </c>
      <c r="D103" s="2">
        <f>VLOOKUP($B103,D$78:$BJ$87,47,FALSE)</f>
        <v>5</v>
      </c>
      <c r="E103" s="2">
        <f>VLOOKUP($B103,E$78:$BJ$87,47,FALSE)</f>
        <v>5</v>
      </c>
      <c r="F103" s="2">
        <f>VLOOKUP($B103,F$78:$BJ$87,47,FALSE)</f>
        <v>6</v>
      </c>
      <c r="G103" s="2">
        <f>VLOOKUP($B103,G$78:$BJ$87,47,FALSE)</f>
        <v>7</v>
      </c>
      <c r="H103" s="2">
        <f>VLOOKUP($B103,H$78:$BJ$87,47,FALSE)</f>
        <v>7</v>
      </c>
      <c r="I103" s="2">
        <f>VLOOKUP($B103,I$78:$BJ$87,47,FALSE)</f>
        <v>6</v>
      </c>
      <c r="J103" s="2">
        <f>VLOOKUP($B103,J$78:$BJ$87,47,FALSE)</f>
        <v>6</v>
      </c>
      <c r="K103" s="2">
        <f>VLOOKUP($B103,K$78:$BJ$87,47,FALSE)</f>
        <v>6</v>
      </c>
      <c r="L103" s="2">
        <f>VLOOKUP($B103,L$78:$BJ$87,47,FALSE)</f>
        <v>6</v>
      </c>
      <c r="M103" s="2">
        <f>VLOOKUP($B103,M$78:$BJ$87,47,FALSE)</f>
        <v>8</v>
      </c>
      <c r="N103" s="2">
        <f>VLOOKUP($B103,N$78:$BJ$87,47,FALSE)</f>
        <v>6</v>
      </c>
      <c r="O103" s="2">
        <f>VLOOKUP($B103,O$78:$BJ$87,47,FALSE)</f>
        <v>7</v>
      </c>
      <c r="P103" s="2">
        <f>VLOOKUP($B103,P$78:$BJ$87,47,FALSE)</f>
        <v>6</v>
      </c>
      <c r="R103" s="2" t="str">
        <f t="shared" si="68"/>
        <v>[3, 5, 5, 6, 7, 7, 6, 6, 6, 6, 8, 6, 7, 6]</v>
      </c>
    </row>
    <row r="104" spans="2:25" x14ac:dyDescent="0.3">
      <c r="B104" t="str">
        <f t="shared" si="69"/>
        <v>Jeanty</v>
      </c>
      <c r="C104" s="2">
        <f>VLOOKUP($B104,C$78:$BJ$87,47,FALSE)</f>
        <v>3.51</v>
      </c>
      <c r="D104" s="2">
        <f>VLOOKUP($B104,D$78:$BJ$87,47,FALSE)</f>
        <v>5.17</v>
      </c>
      <c r="E104" s="2">
        <f>VLOOKUP($B104,E$78:$BJ$87,47,FALSE)</f>
        <v>3</v>
      </c>
      <c r="F104" s="2">
        <f>VLOOKUP($B104,F$78:$BJ$87,47,FALSE)</f>
        <v>4</v>
      </c>
      <c r="G104" s="2">
        <f>VLOOKUP($B104,G$78:$BJ$87,47,FALSE)</f>
        <v>5</v>
      </c>
      <c r="H104" s="2">
        <f>VLOOKUP($B104,H$78:$BJ$87,47,FALSE)</f>
        <v>5</v>
      </c>
      <c r="I104" s="2">
        <f>VLOOKUP($B104,I$78:$BJ$87,47,FALSE)</f>
        <v>4.17</v>
      </c>
      <c r="J104" s="2">
        <f>VLOOKUP($B104,J$78:$BJ$87,47,FALSE)</f>
        <v>5</v>
      </c>
      <c r="K104" s="2">
        <f>VLOOKUP($B104,K$78:$BJ$87,47,FALSE)</f>
        <v>4.17</v>
      </c>
      <c r="L104" s="2">
        <f>VLOOKUP($B104,L$78:$BJ$87,47,FALSE)</f>
        <v>5</v>
      </c>
      <c r="M104" s="2">
        <f>VLOOKUP($B104,M$78:$BJ$87,47,FALSE)</f>
        <v>6</v>
      </c>
      <c r="N104" s="2">
        <f>VLOOKUP($B104,N$78:$BJ$87,47,FALSE)</f>
        <v>5</v>
      </c>
      <c r="O104" s="2">
        <f>VLOOKUP($B104,O$78:$BJ$87,47,FALSE)</f>
        <v>5</v>
      </c>
      <c r="P104" s="2">
        <f>VLOOKUP($B104,P$78:$BJ$87,47,FALSE)</f>
        <v>5</v>
      </c>
      <c r="R104" s="2" t="str">
        <f t="shared" si="68"/>
        <v>[3.51, 5.17, 3, 4, 5, 5, 4.17, 5, 4.17, 5, 6, 5, 5, 5]</v>
      </c>
      <c r="Y104" t="s">
        <v>212</v>
      </c>
    </row>
    <row r="105" spans="2:25" x14ac:dyDescent="0.3">
      <c r="B105" t="str">
        <f t="shared" si="69"/>
        <v>mahoms</v>
      </c>
      <c r="C105" s="2">
        <f>VLOOKUP($B105,C$78:$BJ$87,47,FALSE)</f>
        <v>1.17</v>
      </c>
      <c r="D105" s="2">
        <f>VLOOKUP($B105,D$78:$BJ$87,47,FALSE)</f>
        <v>3.51</v>
      </c>
      <c r="E105" s="2">
        <f>VLOOKUP($B105,E$78:$BJ$87,47,FALSE)</f>
        <v>2.34</v>
      </c>
      <c r="F105" s="2">
        <f>VLOOKUP($B105,F$78:$BJ$87,47,FALSE)</f>
        <v>3.17</v>
      </c>
      <c r="G105" s="2">
        <f>VLOOKUP($B105,G$78:$BJ$87,47,FALSE)</f>
        <v>3</v>
      </c>
      <c r="H105" s="2">
        <f>VLOOKUP($B105,H$78:$BJ$87,47,FALSE)</f>
        <v>4</v>
      </c>
      <c r="I105" s="2">
        <f>VLOOKUP($B105,I$78:$BJ$87,47,FALSE)</f>
        <v>4</v>
      </c>
      <c r="J105" s="2">
        <f>VLOOKUP($B105,J$78:$BJ$87,47,FALSE)</f>
        <v>4</v>
      </c>
      <c r="K105" s="2">
        <f>VLOOKUP($B105,K$78:$BJ$87,47,FALSE)</f>
        <v>4</v>
      </c>
      <c r="L105" s="2">
        <f>VLOOKUP($B105,L$78:$BJ$87,47,FALSE)</f>
        <v>5.17</v>
      </c>
      <c r="M105" s="2">
        <f>VLOOKUP($B105,M$78:$BJ$87,47,FALSE)</f>
        <v>6.17</v>
      </c>
      <c r="N105" s="2">
        <f>VLOOKUP($B105,N$78:$BJ$87,47,FALSE)</f>
        <v>6.17</v>
      </c>
      <c r="O105" s="2">
        <f>VLOOKUP($B105,O$78:$BJ$87,47,FALSE)</f>
        <v>7.17</v>
      </c>
      <c r="P105" s="2">
        <f>VLOOKUP($B105,P$78:$BJ$87,47,FALSE)</f>
        <v>8</v>
      </c>
      <c r="R105" s="2" t="str">
        <f t="shared" si="68"/>
        <v>[1.17, 3.51, 2.34, 3.17, 3, 4, 4, 4, 4, 5.17, 6.17, 6.17, 7.17, 8]</v>
      </c>
    </row>
    <row r="106" spans="2:25" x14ac:dyDescent="0.3">
      <c r="B106" t="str">
        <f t="shared" si="69"/>
        <v>Jamara</v>
      </c>
      <c r="C106" s="2">
        <f>VLOOKUP($B106,C$78:$BJ$87,47,FALSE)</f>
        <v>3.34</v>
      </c>
      <c r="D106" s="2">
        <f>VLOOKUP($B106,D$78:$BJ$87,47,FALSE)</f>
        <v>3.34</v>
      </c>
      <c r="E106" s="2">
        <f>VLOOKUP($B106,E$78:$BJ$87,47,FALSE)</f>
        <v>3.17</v>
      </c>
      <c r="F106" s="2">
        <f>VLOOKUP($B106,F$78:$BJ$87,47,FALSE)</f>
        <v>3</v>
      </c>
      <c r="G106" s="2">
        <f>VLOOKUP($B106,G$78:$BJ$87,47,FALSE)</f>
        <v>3.17</v>
      </c>
      <c r="H106" s="2">
        <f>VLOOKUP($B106,H$78:$BJ$87,47,FALSE)</f>
        <v>4.17</v>
      </c>
      <c r="I106" s="2">
        <f>VLOOKUP($B106,I$78:$BJ$87,47,FALSE)</f>
        <v>3.34</v>
      </c>
      <c r="J106" s="2">
        <f>VLOOKUP($B106,J$78:$BJ$87,47,FALSE)</f>
        <v>4.34</v>
      </c>
      <c r="K106" s="2">
        <f>VLOOKUP($B106,K$78:$BJ$87,47,FALSE)</f>
        <v>3.17</v>
      </c>
      <c r="L106" s="2">
        <f>VLOOKUP($B106,L$78:$BJ$87,47,FALSE)</f>
        <v>4</v>
      </c>
      <c r="M106" s="2">
        <f>VLOOKUP($B106,M$78:$BJ$87,47,FALSE)</f>
        <v>5</v>
      </c>
      <c r="N106" s="2">
        <f>VLOOKUP($B106,N$78:$BJ$87,47,FALSE)</f>
        <v>5.17</v>
      </c>
      <c r="O106" s="2">
        <f>VLOOKUP($B106,O$78:$BJ$87,47,FALSE)</f>
        <v>5.17</v>
      </c>
      <c r="P106" s="2">
        <f>VLOOKUP($B106,P$78:$BJ$87,47,FALSE)</f>
        <v>4</v>
      </c>
      <c r="R106" s="2" t="str">
        <f t="shared" si="68"/>
        <v>[3.34, 3.34, 3.17, 3, 3.17, 4.17, 3.34, 4.34, 3.17, 4, 5, 5.17, 5.17, 4]</v>
      </c>
    </row>
    <row r="107" spans="2:25" x14ac:dyDescent="0.3">
      <c r="B107" t="str">
        <f t="shared" si="69"/>
        <v>johnathan</v>
      </c>
      <c r="C107" s="2">
        <f>VLOOKUP($B107,C$78:$BJ$87,47,FALSE)</f>
        <v>2</v>
      </c>
      <c r="D107" s="2">
        <f>VLOOKUP($B107,D$78:$BJ$87,47,FALSE)</f>
        <v>2</v>
      </c>
      <c r="E107" s="2">
        <f>VLOOKUP($B107,E$78:$BJ$87,47,FALSE)</f>
        <v>1</v>
      </c>
      <c r="F107" s="2">
        <f>VLOOKUP($B107,F$78:$BJ$87,47,FALSE)</f>
        <v>1</v>
      </c>
      <c r="G107" s="2">
        <f>VLOOKUP($B107,G$78:$BJ$87,47,FALSE)</f>
        <v>2</v>
      </c>
      <c r="H107" s="2">
        <f>VLOOKUP($B107,H$78:$BJ$87,47,FALSE)</f>
        <v>2</v>
      </c>
      <c r="I107" s="2">
        <f>VLOOKUP($B107,I$78:$BJ$87,47,FALSE)</f>
        <v>1</v>
      </c>
      <c r="J107" s="2">
        <f>VLOOKUP($B107,J$78:$BJ$87,47,FALSE)</f>
        <v>2</v>
      </c>
      <c r="K107" s="2">
        <f>VLOOKUP($B107,K$78:$BJ$87,47,FALSE)</f>
        <v>2</v>
      </c>
      <c r="L107" s="2">
        <f>VLOOKUP($B107,L$78:$BJ$87,47,FALSE)</f>
        <v>2</v>
      </c>
      <c r="M107" s="2">
        <f>VLOOKUP($B107,M$78:$BJ$87,47,FALSE)</f>
        <v>2</v>
      </c>
      <c r="N107" s="2">
        <f>VLOOKUP($B107,N$78:$BJ$87,47,FALSE)</f>
        <v>3</v>
      </c>
      <c r="O107" s="2">
        <f>VLOOKUP($B107,O$78:$BJ$87,47,FALSE)</f>
        <v>3</v>
      </c>
      <c r="P107" s="2">
        <f>VLOOKUP($B107,P$78:$BJ$87,47,FALSE)</f>
        <v>2</v>
      </c>
      <c r="R107" s="2" t="str">
        <f t="shared" si="68"/>
        <v>[2, 2, 1, 1, 2, 2, 1, 2, 2, 2, 2, 3, 3, 2]</v>
      </c>
    </row>
    <row r="108" spans="2:25" x14ac:dyDescent="0.3">
      <c r="B108" t="str">
        <f t="shared" si="69"/>
        <v>chiefs</v>
      </c>
      <c r="C108" s="2">
        <f>VLOOKUP($B108,C$78:$BJ$87,47,FALSE)</f>
        <v>1.3399999999999999</v>
      </c>
      <c r="D108" s="2">
        <f>VLOOKUP($B108,D$78:$BJ$87,47,FALSE)</f>
        <v>1</v>
      </c>
      <c r="E108" s="2">
        <f>VLOOKUP($B108,E$78:$BJ$87,47,FALSE)</f>
        <v>2.5099999999999998</v>
      </c>
      <c r="F108" s="2">
        <f>VLOOKUP($B108,F$78:$BJ$87,47,FALSE)</f>
        <v>2</v>
      </c>
      <c r="G108" s="2">
        <f>VLOOKUP($B108,G$78:$BJ$87,47,FALSE)</f>
        <v>1</v>
      </c>
      <c r="H108" s="2">
        <f>VLOOKUP($B108,H$78:$BJ$87,47,FALSE)</f>
        <v>1</v>
      </c>
      <c r="I108" s="2">
        <f>VLOOKUP($B108,I$78:$BJ$87,47,FALSE)</f>
        <v>2</v>
      </c>
      <c r="J108" s="2">
        <f>VLOOKUP($B108,J$78:$BJ$87,47,FALSE)</f>
        <v>1</v>
      </c>
      <c r="K108" s="2">
        <f>VLOOKUP($B108,K$78:$BJ$87,47,FALSE)</f>
        <v>1</v>
      </c>
      <c r="L108" s="2">
        <f>VLOOKUP($B108,L$78:$BJ$87,47,FALSE)</f>
        <v>1</v>
      </c>
      <c r="M108" s="2">
        <f>VLOOKUP($B108,M$78:$BJ$87,47,FALSE)</f>
        <v>1</v>
      </c>
      <c r="N108" s="2">
        <f>VLOOKUP($B108,N$78:$BJ$87,47,FALSE)</f>
        <v>1</v>
      </c>
      <c r="O108" s="2">
        <f>VLOOKUP($B108,O$78:$BJ$87,47,FALSE)</f>
        <v>1</v>
      </c>
      <c r="P108" s="2">
        <f>VLOOKUP($B108,P$78:$BJ$87,47,FALSE)</f>
        <v>1</v>
      </c>
      <c r="R108" s="2" t="str">
        <f t="shared" si="68"/>
        <v>[1.34, 1, 2.51, 2, 1, 1, 2, 1, 1, 1, 1, 1, 1, 1]</v>
      </c>
    </row>
    <row r="109" spans="2:25" x14ac:dyDescent="0.3">
      <c r="B109" t="str">
        <f t="shared" si="69"/>
        <v>HotDog</v>
      </c>
      <c r="C109" s="2">
        <f>VLOOKUP($B109,C$78:$BJ$87,47,FALSE)</f>
        <v>1</v>
      </c>
      <c r="D109" s="2">
        <f>VLOOKUP($B109,D$78:$BJ$87,47,FALSE)</f>
        <v>3.17</v>
      </c>
      <c r="E109" s="2">
        <f>VLOOKUP($B109,E$78:$BJ$87,47,FALSE)</f>
        <v>2.17</v>
      </c>
      <c r="F109" s="2">
        <f>VLOOKUP($B109,F$78:$BJ$87,47,FALSE)</f>
        <v>2.17</v>
      </c>
      <c r="G109" s="2">
        <f>VLOOKUP($B109,G$78:$BJ$87,47,FALSE)</f>
        <v>1.17</v>
      </c>
      <c r="H109" s="2">
        <f>VLOOKUP($B109,H$78:$BJ$87,47,FALSE)</f>
        <v>3.17</v>
      </c>
      <c r="I109" s="2">
        <f>VLOOKUP($B109,I$78:$BJ$87,47,FALSE)</f>
        <v>3</v>
      </c>
      <c r="J109" s="2">
        <f>VLOOKUP($B109,J$78:$BJ$87,47,FALSE)</f>
        <v>4.17</v>
      </c>
      <c r="K109" s="2">
        <f>VLOOKUP($B109,K$78:$BJ$87,47,FALSE)</f>
        <v>3</v>
      </c>
      <c r="L109" s="2">
        <f>VLOOKUP($B109,L$78:$BJ$87,47,FALSE)</f>
        <v>3.17</v>
      </c>
      <c r="M109" s="2">
        <f>VLOOKUP($B109,M$78:$BJ$87,47,FALSE)</f>
        <v>3</v>
      </c>
      <c r="N109" s="2">
        <f>VLOOKUP($B109,N$78:$BJ$87,47,FALSE)</f>
        <v>4.17</v>
      </c>
      <c r="O109" s="2">
        <f>VLOOKUP($B109,O$78:$BJ$87,47,FALSE)</f>
        <v>2</v>
      </c>
      <c r="P109" s="2">
        <f>VLOOKUP($B109,P$78:$BJ$87,47,FALSE)</f>
        <v>1.17</v>
      </c>
      <c r="R109" s="2" t="str">
        <f t="shared" si="68"/>
        <v>[1, 3.17, 2.17, 2.17, 1.17, 3.17, 3, 4.17, 3, 3.17, 3, 4.17, 2, 1.17]</v>
      </c>
    </row>
    <row r="110" spans="2:25" x14ac:dyDescent="0.3">
      <c r="B110">
        <f t="shared" si="69"/>
        <v>141</v>
      </c>
      <c r="C110" s="2">
        <f>VLOOKUP($B110,C$78:$BJ$87,47,FALSE)</f>
        <v>2.17</v>
      </c>
      <c r="D110" s="2">
        <f>VLOOKUP($B110,D$78:$BJ$87,47,FALSE)</f>
        <v>4</v>
      </c>
      <c r="E110" s="2">
        <f>VLOOKUP($B110,E$78:$BJ$87,47,FALSE)</f>
        <v>4</v>
      </c>
      <c r="F110" s="2">
        <f>VLOOKUP($B110,F$78:$BJ$87,47,FALSE)</f>
        <v>5</v>
      </c>
      <c r="G110" s="2">
        <f>VLOOKUP($B110,G$78:$BJ$87,47,FALSE)</f>
        <v>6</v>
      </c>
      <c r="H110" s="2">
        <f>VLOOKUP($B110,H$78:$BJ$87,47,FALSE)</f>
        <v>6</v>
      </c>
      <c r="I110" s="2">
        <f>VLOOKUP($B110,I$78:$BJ$87,47,FALSE)</f>
        <v>5</v>
      </c>
      <c r="J110" s="2">
        <f>VLOOKUP($B110,J$78:$BJ$87,47,FALSE)</f>
        <v>7</v>
      </c>
      <c r="K110" s="2">
        <f>VLOOKUP($B110,K$78:$BJ$87,47,FALSE)</f>
        <v>5</v>
      </c>
      <c r="L110" s="2">
        <f>VLOOKUP($B110,L$78:$BJ$87,47,FALSE)</f>
        <v>7</v>
      </c>
      <c r="M110" s="2">
        <f>VLOOKUP($B110,M$78:$BJ$87,47,FALSE)</f>
        <v>7</v>
      </c>
      <c r="N110" s="2">
        <f>VLOOKUP($B110,N$78:$BJ$87,47,FALSE)</f>
        <v>7</v>
      </c>
      <c r="O110" s="2">
        <f>VLOOKUP($B110,O$78:$BJ$87,47,FALSE)</f>
        <v>6</v>
      </c>
      <c r="P110" s="2">
        <f>VLOOKUP($B110,P$78:$BJ$87,47,FALSE)</f>
        <v>7</v>
      </c>
      <c r="R110" s="2" t="str">
        <f t="shared" si="68"/>
        <v>[2.17, 4, 4, 5, 6, 6, 5, 7, 5, 7, 7, 7, 6, 7]</v>
      </c>
    </row>
    <row r="111" spans="2:25" x14ac:dyDescent="0.3">
      <c r="B111" t="str">
        <f t="shared" si="69"/>
        <v>Brills</v>
      </c>
      <c r="C111" s="2">
        <f>VLOOKUP($B111,C$78:$BJ$87,47,FALSE)</f>
        <v>1.5099999999999998</v>
      </c>
      <c r="D111" s="2">
        <f>VLOOKUP($B111,D$78:$BJ$87,47,FALSE)</f>
        <v>1.17</v>
      </c>
      <c r="E111" s="2">
        <f>VLOOKUP($B111,E$78:$BJ$87,47,FALSE)</f>
        <v>2.6799999999999997</v>
      </c>
      <c r="F111" s="2">
        <f>VLOOKUP($B111,F$78:$BJ$87,47,FALSE)</f>
        <v>3.34</v>
      </c>
      <c r="G111" s="2">
        <f>VLOOKUP($B111,G$78:$BJ$87,47,FALSE)</f>
        <v>4</v>
      </c>
      <c r="H111" s="2">
        <f>VLOOKUP($B111,H$78:$BJ$87,47,FALSE)</f>
        <v>4.34</v>
      </c>
      <c r="I111" s="2">
        <f>VLOOKUP($B111,I$78:$BJ$87,47,FALSE)</f>
        <v>3.51</v>
      </c>
      <c r="J111" s="2">
        <f>VLOOKUP($B111,J$78:$BJ$87,47,FALSE)</f>
        <v>3.17</v>
      </c>
      <c r="K111" s="2">
        <f>VLOOKUP($B111,K$78:$BJ$87,47,FALSE)</f>
        <v>3.34</v>
      </c>
      <c r="L111" s="2">
        <f>VLOOKUP($B111,L$78:$BJ$87,47,FALSE)</f>
        <v>3.34</v>
      </c>
      <c r="M111" s="2">
        <f>VLOOKUP($B111,M$78:$BJ$87,47,FALSE)</f>
        <v>3.17</v>
      </c>
      <c r="N111" s="2">
        <f>VLOOKUP($B111,N$78:$BJ$87,47,FALSE)</f>
        <v>2</v>
      </c>
      <c r="O111" s="2">
        <f>VLOOKUP($B111,O$78:$BJ$87,47,FALSE)</f>
        <v>1.17</v>
      </c>
      <c r="P111" s="2">
        <f>VLOOKUP($B111,P$78:$BJ$87,47,FALSE)</f>
        <v>1.3399999999999999</v>
      </c>
      <c r="R111" s="2" t="str">
        <f t="shared" si="68"/>
        <v>[1.51, 1.17, 2.68, 3.34, 4, 4.34, 3.51, 3.17, 3.34, 3.34, 3.17, 2, 1.17, 1.34]</v>
      </c>
    </row>
    <row r="113" spans="1:20" x14ac:dyDescent="0.3">
      <c r="B113" t="s">
        <v>17</v>
      </c>
      <c r="F113" t="s">
        <v>18</v>
      </c>
      <c r="I113" t="s">
        <v>19</v>
      </c>
    </row>
    <row r="114" spans="1:20" x14ac:dyDescent="0.3">
      <c r="A114">
        <v>1</v>
      </c>
      <c r="B114" t="str">
        <f>B2</f>
        <v>Bone</v>
      </c>
      <c r="C114">
        <f>F114/14</f>
        <v>106.33857142857141</v>
      </c>
      <c r="F114">
        <f>P66</f>
        <v>1488.7399999999998</v>
      </c>
      <c r="I114">
        <f>SUM(C29:P29)</f>
        <v>1407.8000000000002</v>
      </c>
    </row>
    <row r="115" spans="1:20" x14ac:dyDescent="0.3">
      <c r="A115">
        <v>2</v>
      </c>
      <c r="B115" t="str">
        <f t="shared" ref="B115:B123" si="70">B3</f>
        <v>not last</v>
      </c>
      <c r="C115">
        <f t="shared" ref="C115:C123" si="71">F115/14</f>
        <v>100.41000000000001</v>
      </c>
      <c r="F115">
        <f t="shared" ref="F115:F123" si="72">P67</f>
        <v>1405.7400000000002</v>
      </c>
      <c r="I115">
        <f t="shared" ref="I115:I123" si="73">SUM(C30:P30)</f>
        <v>1400.9199999999998</v>
      </c>
    </row>
    <row r="116" spans="1:20" x14ac:dyDescent="0.3">
      <c r="A116">
        <v>3</v>
      </c>
      <c r="B116" t="str">
        <f t="shared" si="70"/>
        <v>Jeanty</v>
      </c>
      <c r="C116">
        <f t="shared" si="71"/>
        <v>101.93999999999998</v>
      </c>
      <c r="F116">
        <f t="shared" si="72"/>
        <v>1427.1599999999999</v>
      </c>
      <c r="I116">
        <f t="shared" si="73"/>
        <v>1450.9999999999998</v>
      </c>
    </row>
    <row r="117" spans="1:20" x14ac:dyDescent="0.3">
      <c r="A117">
        <v>4</v>
      </c>
      <c r="B117" t="str">
        <f t="shared" si="70"/>
        <v>mahoms</v>
      </c>
      <c r="C117">
        <f t="shared" si="71"/>
        <v>87.217142857142861</v>
      </c>
      <c r="F117">
        <f t="shared" si="72"/>
        <v>1221.04</v>
      </c>
      <c r="I117">
        <f t="shared" si="73"/>
        <v>1573.6199999999994</v>
      </c>
    </row>
    <row r="118" spans="1:20" x14ac:dyDescent="0.3">
      <c r="A118">
        <v>5</v>
      </c>
      <c r="B118" t="str">
        <f t="shared" si="70"/>
        <v>Jamara</v>
      </c>
      <c r="C118">
        <f t="shared" si="71"/>
        <v>103.18285714285717</v>
      </c>
      <c r="F118">
        <f t="shared" si="72"/>
        <v>1444.5600000000004</v>
      </c>
      <c r="I118">
        <f t="shared" si="73"/>
        <v>1566.7200000000005</v>
      </c>
    </row>
    <row r="119" spans="1:20" x14ac:dyDescent="0.3">
      <c r="A119">
        <v>6</v>
      </c>
      <c r="B119" t="str">
        <f t="shared" si="70"/>
        <v>johnathan</v>
      </c>
      <c r="C119">
        <f t="shared" si="71"/>
        <v>106.78857142857139</v>
      </c>
      <c r="F119">
        <f t="shared" si="72"/>
        <v>1495.0399999999995</v>
      </c>
      <c r="I119">
        <f t="shared" si="73"/>
        <v>1451.96</v>
      </c>
    </row>
    <row r="120" spans="1:20" x14ac:dyDescent="0.3">
      <c r="A120">
        <v>7</v>
      </c>
      <c r="B120" t="str">
        <f t="shared" si="70"/>
        <v>chiefs</v>
      </c>
      <c r="C120">
        <f t="shared" si="71"/>
        <v>117.3385714285714</v>
      </c>
      <c r="F120">
        <f t="shared" si="72"/>
        <v>1642.7399999999996</v>
      </c>
      <c r="I120">
        <f t="shared" si="73"/>
        <v>1398.4399999999998</v>
      </c>
    </row>
    <row r="121" spans="1:20" x14ac:dyDescent="0.3">
      <c r="A121">
        <v>8</v>
      </c>
      <c r="B121" t="str">
        <f t="shared" si="70"/>
        <v>HotDog</v>
      </c>
      <c r="C121">
        <f t="shared" si="71"/>
        <v>105.70142857142856</v>
      </c>
      <c r="F121">
        <f t="shared" si="72"/>
        <v>1479.82</v>
      </c>
      <c r="I121">
        <f t="shared" si="73"/>
        <v>1326.9199999999998</v>
      </c>
    </row>
    <row r="122" spans="1:20" x14ac:dyDescent="0.3">
      <c r="A122">
        <v>9</v>
      </c>
      <c r="B122">
        <f t="shared" si="70"/>
        <v>141</v>
      </c>
      <c r="C122">
        <f t="shared" si="71"/>
        <v>111.6</v>
      </c>
      <c r="F122">
        <f t="shared" si="72"/>
        <v>1562.3999999999999</v>
      </c>
      <c r="H122" t="s">
        <v>21</v>
      </c>
      <c r="I122">
        <f t="shared" si="73"/>
        <v>1655.9800000000002</v>
      </c>
    </row>
    <row r="123" spans="1:20" x14ac:dyDescent="0.3">
      <c r="A123">
        <v>10</v>
      </c>
      <c r="B123" t="str">
        <f t="shared" si="70"/>
        <v>Brills</v>
      </c>
      <c r="C123">
        <f t="shared" si="71"/>
        <v>101.48142857142857</v>
      </c>
      <c r="F123">
        <f t="shared" si="72"/>
        <v>1420.74</v>
      </c>
      <c r="H123">
        <v>13</v>
      </c>
      <c r="I123">
        <f t="shared" si="73"/>
        <v>1354.6200000000003</v>
      </c>
    </row>
    <row r="125" spans="1:20" x14ac:dyDescent="0.3">
      <c r="B125" t="s">
        <v>20</v>
      </c>
      <c r="R125" t="s">
        <v>22</v>
      </c>
      <c r="T125" t="s">
        <v>23</v>
      </c>
    </row>
    <row r="126" spans="1:20" x14ac:dyDescent="0.3">
      <c r="B126" t="str">
        <f>B2</f>
        <v>Bone</v>
      </c>
      <c r="C126" cm="1">
        <f t="array" ref="C126">(14*INDEX($C$114:$C$123, C16) - C29)/13</f>
        <v>118.29692307692305</v>
      </c>
      <c r="D126" cm="1">
        <f t="array" ref="D126">(14*INDEX($C$114:$C$123, D16) - D29)/13</f>
        <v>105.44</v>
      </c>
      <c r="E126" cm="1">
        <f t="array" ref="E126">(14*INDEX($C$114:$C$123, E16) - E29)/13</f>
        <v>113.2876923076923</v>
      </c>
      <c r="F126" cm="1">
        <f t="array" ref="F126">(14*INDEX($C$114:$C$123, F16) - F29)/13</f>
        <v>101.86615384615382</v>
      </c>
      <c r="G126" cm="1">
        <f t="array" ref="G126">(14*INDEX($C$114:$C$123, G16) - G29)/13</f>
        <v>99.858461538461569</v>
      </c>
      <c r="H126" cm="1">
        <f t="array" ref="H126">(14*INDEX($C$114:$C$123, H16) - H29)/13</f>
        <v>101.56769230769231</v>
      </c>
      <c r="I126" cm="1">
        <f t="array" ref="I126">(14*INDEX($C$114:$C$123, I16) - I29)/13</f>
        <v>106.18307692307688</v>
      </c>
      <c r="J126" cm="1">
        <f t="array" ref="J126">(14*INDEX($C$114:$C$123, J16) - J29)/13</f>
        <v>104.27230769230772</v>
      </c>
      <c r="K126" cm="1">
        <f t="array" ref="K126">(14*INDEX($C$114:$C$123, K16) - K29)/13</f>
        <v>89.58</v>
      </c>
      <c r="L126" cm="1">
        <f t="array" ref="L126">(14*INDEX($C$114:$C$123, L16) - L29)/13</f>
        <v>114.94153846153843</v>
      </c>
      <c r="M126" cm="1">
        <f t="array" ref="M126">(14*INDEX($C$114:$C$123, M16) - M29)/13</f>
        <v>106.1</v>
      </c>
      <c r="N126" cm="1">
        <f t="array" ref="N126">(14*INDEX($C$114:$C$123, N16) - N29)/13</f>
        <v>113.24307692307691</v>
      </c>
      <c r="O126" cm="1">
        <f t="array" ref="O126">(14*INDEX($C$114:$C$123, O16) - O29)/13</f>
        <v>100.99692307692307</v>
      </c>
      <c r="P126" cm="1">
        <f t="array" ref="P126">(14*INDEX($C$114:$C$123, P16) - P29)/13</f>
        <v>114.0553846153846</v>
      </c>
      <c r="R126">
        <f>SUM(C126:P126)</f>
        <v>1489.6892307692308</v>
      </c>
      <c r="T126">
        <f>R126-I114</f>
        <v>81.889230769230608</v>
      </c>
    </row>
    <row r="127" spans="1:20" x14ac:dyDescent="0.3">
      <c r="B127" t="str">
        <f t="shared" ref="B127:B135" si="74">B3</f>
        <v>not last</v>
      </c>
      <c r="C127" cm="1">
        <f t="array" ref="C127">(14*INDEX($C$114:$C$123, C17) - C30)/13</f>
        <v>85.539999999999992</v>
      </c>
      <c r="D127" cm="1">
        <f t="array" ref="D127">(14*INDEX($C$114:$C$123, D17) - D30)/13</f>
        <v>101.31846153846155</v>
      </c>
      <c r="E127" cm="1">
        <f t="array" ref="E127">(14*INDEX($C$114:$C$123, E17) - E30)/13</f>
        <v>106.15846153846149</v>
      </c>
      <c r="F127" cm="1">
        <f t="array" ref="F127">(14*INDEX($C$114:$C$123, F17) - F30)/13</f>
        <v>102.70769230769234</v>
      </c>
      <c r="G127" cm="1">
        <f t="array" ref="G127">(14*INDEX($C$114:$C$123, G17) - G30)/13</f>
        <v>105.79999999999998</v>
      </c>
      <c r="H127" cm="1">
        <f t="array" ref="H127">(14*INDEX($C$114:$C$123, H17) - H30)/13</f>
        <v>116.62307692307688</v>
      </c>
      <c r="I127" cm="1">
        <f t="array" ref="I127">(14*INDEX($C$114:$C$123, I17) - I30)/13</f>
        <v>105.09076923076921</v>
      </c>
      <c r="J127" cm="1">
        <f t="array" ref="J127">(14*INDEX($C$114:$C$123, J17) - J30)/13</f>
        <v>115.18615384615383</v>
      </c>
      <c r="K127" cm="1">
        <f t="array" ref="K127">(14*INDEX($C$114:$C$123, K17) - K30)/13</f>
        <v>102.23538461538462</v>
      </c>
      <c r="L127" cm="1">
        <f t="array" ref="L127">(14*INDEX($C$114:$C$123, L17) - L30)/13</f>
        <v>91.433846153846147</v>
      </c>
      <c r="M127" cm="1">
        <f t="array" ref="M127">(14*INDEX($C$114:$C$123, M17) - M30)/13</f>
        <v>100.21538461538461</v>
      </c>
      <c r="N127" cm="1">
        <f t="array" ref="N127">(14*INDEX($C$114:$C$123, N17) - N30)/13</f>
        <v>109.70615384615381</v>
      </c>
      <c r="O127" cm="1">
        <f t="array" ref="O127">(14*INDEX($C$114:$C$123, O17) - O30)/13</f>
        <v>101.21846153846157</v>
      </c>
      <c r="P127" cm="1">
        <f t="array" ref="P127">(14*INDEX($C$114:$C$123, P17) - P30)/13</f>
        <v>118.72307692307689</v>
      </c>
      <c r="R127">
        <f t="shared" ref="R127:R135" si="75">SUM(C127:P127)</f>
        <v>1461.9569230769227</v>
      </c>
      <c r="T127">
        <f t="shared" ref="T127:T135" si="76">R127-I115</f>
        <v>61.036923076922903</v>
      </c>
    </row>
    <row r="128" spans="1:20" x14ac:dyDescent="0.3">
      <c r="B128" t="str">
        <f t="shared" si="74"/>
        <v>Jeanty</v>
      </c>
      <c r="C128" cm="1">
        <f t="array" ref="C128">(14*INDEX($C$114:$C$123, C18) - C31)/13</f>
        <v>103.10153846153845</v>
      </c>
      <c r="D128" cm="1">
        <f t="array" ref="D128">(14*INDEX($C$114:$C$123, D18) - D31)/13</f>
        <v>105.62923076923074</v>
      </c>
      <c r="E128" cm="1">
        <f t="array" ref="E128">(14*INDEX($C$114:$C$123, E18) - E31)/13</f>
        <v>102.48769230769234</v>
      </c>
      <c r="F128" cm="1">
        <f t="array" ref="F128">(14*INDEX($C$114:$C$123, F18) - F31)/13</f>
        <v>105.84307692307691</v>
      </c>
      <c r="G128" cm="1">
        <f t="array" ref="G128">(14*INDEX($C$114:$C$123, G18) - G31)/13</f>
        <v>117.66769230769228</v>
      </c>
      <c r="H128" cm="1">
        <f t="array" ref="H128">(14*INDEX($C$114:$C$123, H18) - H31)/13</f>
        <v>108.08615384615383</v>
      </c>
      <c r="I128" cm="1">
        <f t="array" ref="I128">(14*INDEX($C$114:$C$123, I18) - I31)/13</f>
        <v>110.95846153846152</v>
      </c>
      <c r="J128" cm="1">
        <f t="array" ref="J128">(14*INDEX($C$114:$C$123, J18) - J31)/13</f>
        <v>83.613846153846154</v>
      </c>
      <c r="K128" cm="1">
        <f t="array" ref="K128">(14*INDEX($C$114:$C$123, K18) - K31)/13</f>
        <v>101.28923076923078</v>
      </c>
      <c r="L128" cm="1">
        <f t="array" ref="L128">(14*INDEX($C$114:$C$123, L18) - L31)/13</f>
        <v>101.52615384615385</v>
      </c>
      <c r="M128" cm="1">
        <f t="array" ref="M128">(14*INDEX($C$114:$C$123, M18) - M31)/13</f>
        <v>106.88307692307689</v>
      </c>
      <c r="N128" cm="1">
        <f t="array" ref="N128">(14*INDEX($C$114:$C$123, N18) - N31)/13</f>
        <v>104.45692307692312</v>
      </c>
      <c r="O128" cm="1">
        <f t="array" ref="O128">(14*INDEX($C$114:$C$123, O18) - O31)/13</f>
        <v>108.95384615384614</v>
      </c>
      <c r="P128" cm="1">
        <f t="array" ref="P128">(14*INDEX($C$114:$C$123, P18) - P31)/13</f>
        <v>104.02</v>
      </c>
      <c r="R128">
        <f t="shared" si="75"/>
        <v>1464.5169230769231</v>
      </c>
      <c r="T128">
        <f t="shared" si="76"/>
        <v>13.516923076923376</v>
      </c>
    </row>
    <row r="129" spans="2:20" x14ac:dyDescent="0.3">
      <c r="B129" t="str">
        <f t="shared" si="74"/>
        <v>mahoms</v>
      </c>
      <c r="C129" cm="1">
        <f t="array" ref="C129">(14*INDEX($C$114:$C$123, C19) - C32)/13</f>
        <v>100.89384615384618</v>
      </c>
      <c r="D129" cm="1">
        <f t="array" ref="D129">(14*INDEX($C$114:$C$123, D19) - D32)/13</f>
        <v>115.89999999999996</v>
      </c>
      <c r="E129" cm="1">
        <f t="array" ref="E129">(14*INDEX($C$114:$C$123, E19) - E32)/13</f>
        <v>103.71692307692307</v>
      </c>
      <c r="F129" cm="1">
        <f t="array" ref="F129">(14*INDEX($C$114:$C$123, F19) - F32)/13</f>
        <v>104.98</v>
      </c>
      <c r="G129" cm="1">
        <f t="array" ref="G129">(14*INDEX($C$114:$C$123, G19) - G32)/13</f>
        <v>105.25846153846149</v>
      </c>
      <c r="H129" cm="1">
        <f t="array" ref="H129">(14*INDEX($C$114:$C$123, H19) - H32)/13</f>
        <v>105.76769230769229</v>
      </c>
      <c r="I129" cm="1">
        <f t="array" ref="I129">(14*INDEX($C$114:$C$123, I19) - I32)/13</f>
        <v>103.09384615384619</v>
      </c>
      <c r="J129" cm="1">
        <f t="array" ref="J129">(14*INDEX($C$114:$C$123, J19) - J32)/13</f>
        <v>101.19999999999999</v>
      </c>
      <c r="K129" cm="1">
        <f t="array" ref="K129">(14*INDEX($C$114:$C$123, K19) - K32)/13</f>
        <v>104.08769230769229</v>
      </c>
      <c r="L129" cm="1">
        <f t="array" ref="L129">(14*INDEX($C$114:$C$123, L19) - L32)/13</f>
        <v>98.803076923076944</v>
      </c>
      <c r="M129" cm="1">
        <f t="array" ref="M129">(14*INDEX($C$114:$C$123, M19) - M32)/13</f>
        <v>118.66461538461536</v>
      </c>
      <c r="N129" cm="1">
        <f t="array" ref="N129">(14*INDEX($C$114:$C$123, N19) - N32)/13</f>
        <v>102.30615384615385</v>
      </c>
      <c r="O129" cm="1">
        <f t="array" ref="O129">(14*INDEX($C$114:$C$123, O19) - O32)/13</f>
        <v>106.53692307692307</v>
      </c>
      <c r="P129" cm="1">
        <f t="array" ref="P129">(14*INDEX($C$114:$C$123, P19) - P32)/13</f>
        <v>108.5907692307692</v>
      </c>
      <c r="R129">
        <f t="shared" si="75"/>
        <v>1479.8000000000002</v>
      </c>
      <c r="T129">
        <f t="shared" si="76"/>
        <v>-93.819999999999254</v>
      </c>
    </row>
    <row r="130" spans="2:20" x14ac:dyDescent="0.3">
      <c r="B130" t="str">
        <f t="shared" si="74"/>
        <v>Jamara</v>
      </c>
      <c r="C130" cm="1">
        <f t="array" ref="C130">(14*INDEX($C$114:$C$123, C20) - C33)/13</f>
        <v>105.23538461538462</v>
      </c>
      <c r="D130" cm="1">
        <f t="array" ref="D130">(14*INDEX($C$114:$C$123, D20) - D33)/13</f>
        <v>112.35384615384615</v>
      </c>
      <c r="E130" cm="1">
        <f t="array" ref="E130">(14*INDEX($C$114:$C$123, E20) - E33)/13</f>
        <v>97.932307692307688</v>
      </c>
      <c r="F130" cm="1">
        <f t="array" ref="F130">(14*INDEX($C$114:$C$123, F20) - F33)/13</f>
        <v>101.88153846153848</v>
      </c>
      <c r="G130" cm="1">
        <f t="array" ref="G130">(14*INDEX($C$114:$C$123, G20) - G33)/13</f>
        <v>101.07692307692308</v>
      </c>
      <c r="H130" cm="1">
        <f t="array" ref="H130">(14*INDEX($C$114:$C$123, H20) - H33)/13</f>
        <v>108.18307692307688</v>
      </c>
      <c r="I130" cm="1">
        <f t="array" ref="I130">(14*INDEX($C$114:$C$123, I20) - I33)/13</f>
        <v>86.223076923076917</v>
      </c>
      <c r="J130" cm="1">
        <f t="array" ref="J130">(14*INDEX($C$114:$C$123, J20) - J33)/13</f>
        <v>104.02769230769228</v>
      </c>
      <c r="K130" cm="1">
        <f t="array" ref="K130">(14*INDEX($C$114:$C$123, K20) - K33)/13</f>
        <v>118.45384615384613</v>
      </c>
      <c r="L130" cm="1">
        <f t="array" ref="L130">(14*INDEX($C$114:$C$123, L20) - L33)/13</f>
        <v>105.59846153846154</v>
      </c>
      <c r="M130" cm="1">
        <f t="array" ref="M130">(14*INDEX($C$114:$C$123, M20) - M33)/13</f>
        <v>109.02153846153844</v>
      </c>
      <c r="N130" cm="1">
        <f t="array" ref="N130">(14*INDEX($C$114:$C$123, N20) - N33)/13</f>
        <v>98.67692307692306</v>
      </c>
      <c r="O130" cm="1">
        <f t="array" ref="O130">(14*INDEX($C$114:$C$123, O20) - O33)/13</f>
        <v>101.04615384615386</v>
      </c>
      <c r="P130" cm="1">
        <f t="array" ref="P130">(14*INDEX($C$114:$C$123, P20) - P33)/13</f>
        <v>102.02461538461537</v>
      </c>
      <c r="R130">
        <f t="shared" si="75"/>
        <v>1451.7353846153844</v>
      </c>
      <c r="T130">
        <f t="shared" si="76"/>
        <v>-114.98461538461606</v>
      </c>
    </row>
    <row r="131" spans="2:20" x14ac:dyDescent="0.3">
      <c r="B131" t="str">
        <f t="shared" si="74"/>
        <v>johnathan</v>
      </c>
      <c r="C131" cm="1">
        <f t="array" ref="C131">(14*INDEX($C$114:$C$123, C21) - C34)/13</f>
        <v>111.50615384615384</v>
      </c>
      <c r="D131" cm="1">
        <f t="array" ref="D131">(14*INDEX($C$114:$C$123, D21) - D34)/13</f>
        <v>102.42461538461536</v>
      </c>
      <c r="E131" cm="1">
        <f t="array" ref="E131">(14*INDEX($C$114:$C$123, E21) - E34)/13</f>
        <v>100.63230769230771</v>
      </c>
      <c r="F131" cm="1">
        <f t="array" ref="F131">(14*INDEX($C$114:$C$123, F21) - F34)/13</f>
        <v>102.20923076923077</v>
      </c>
      <c r="G131" cm="1">
        <f t="array" ref="G131">(14*INDEX($C$114:$C$123, G21) - G34)/13</f>
        <v>83.230769230769226</v>
      </c>
      <c r="H131" cm="1">
        <f t="array" ref="H131">(14*INDEX($C$114:$C$123, H21) - H34)/13</f>
        <v>105.40461538461543</v>
      </c>
      <c r="I131" cm="1">
        <f t="array" ref="I131">(14*INDEX($C$114:$C$123, I21) - I34)/13</f>
        <v>107.92461538461536</v>
      </c>
      <c r="J131" cm="1">
        <f t="array" ref="J131">(14*INDEX($C$114:$C$123, J21) - J34)/13</f>
        <v>112.30461538461535</v>
      </c>
      <c r="K131" cm="1">
        <f t="array" ref="K131">(14*INDEX($C$114:$C$123, K21) - K34)/13</f>
        <v>106.18153846153845</v>
      </c>
      <c r="L131" cm="1">
        <f t="array" ref="L131">(14*INDEX($C$114:$C$123, L21) - L34)/13</f>
        <v>113.86153846153844</v>
      </c>
      <c r="M131" cm="1">
        <f t="array" ref="M131">(14*INDEX($C$114:$C$123, M21) - M34)/13</f>
        <v>103.98923076923076</v>
      </c>
      <c r="N131" cm="1">
        <f t="array" ref="N131">(14*INDEX($C$114:$C$123, N21) - N34)/13</f>
        <v>97.612307692307709</v>
      </c>
      <c r="O131" cm="1">
        <f t="array" ref="O131">(14*INDEX($C$114:$C$123, O21) - O34)/13</f>
        <v>99.750769230769237</v>
      </c>
      <c r="P131" cm="1">
        <f t="array" ref="P131">(14*INDEX($C$114:$C$123, P21) - P34)/13</f>
        <v>89.741538461538454</v>
      </c>
      <c r="R131">
        <f t="shared" si="75"/>
        <v>1436.7738461538461</v>
      </c>
      <c r="T131">
        <f t="shared" si="76"/>
        <v>-15.186153846153957</v>
      </c>
    </row>
    <row r="132" spans="2:20" x14ac:dyDescent="0.3">
      <c r="B132" t="str">
        <f t="shared" si="74"/>
        <v>chiefs</v>
      </c>
      <c r="C132" cm="1">
        <f t="array" ref="C132">(14*INDEX($C$114:$C$123, C22) - C35)/13</f>
        <v>107.49692307692307</v>
      </c>
      <c r="D132" cm="1">
        <f t="array" ref="D132">(14*INDEX($C$114:$C$123, D22) - D35)/13</f>
        <v>87.004615384615377</v>
      </c>
      <c r="E132" cm="1">
        <f t="array" ref="E132">(14*INDEX($C$114:$C$123, E22) - E35)/13</f>
        <v>105.13076923076922</v>
      </c>
      <c r="F132" cm="1">
        <f t="array" ref="F132">(14*INDEX($C$114:$C$123, F22) - F35)/13</f>
        <v>110.19230769230768</v>
      </c>
      <c r="G132" cm="1">
        <f t="array" ref="G132">(14*INDEX($C$114:$C$123, G22) - G35)/13</f>
        <v>103.05846153846151</v>
      </c>
      <c r="H132" cm="1">
        <f t="array" ref="H132">(14*INDEX($C$114:$C$123, H22) - H35)/13</f>
        <v>102.88923076923078</v>
      </c>
      <c r="I132" cm="1">
        <f t="array" ref="I132">(14*INDEX($C$114:$C$123, I22) - I35)/13</f>
        <v>101.27692307692307</v>
      </c>
      <c r="J132" cm="1">
        <f t="array" ref="J132">(14*INDEX($C$114:$C$123, J22) - J35)/13</f>
        <v>104.31692307692303</v>
      </c>
      <c r="K132" cm="1">
        <f t="array" ref="K132">(14*INDEX($C$114:$C$123, K22) - K35)/13</f>
        <v>102.40307692307695</v>
      </c>
      <c r="L132" cm="1">
        <f t="array" ref="L132">(14*INDEX($C$114:$C$123, L22) - L35)/13</f>
        <v>107.68769230769229</v>
      </c>
      <c r="M132" cm="1">
        <f t="array" ref="M132">(14*INDEX($C$114:$C$123, M22) - M35)/13</f>
        <v>90.161538461538456</v>
      </c>
      <c r="N132" cm="1">
        <f t="array" ref="N132">(14*INDEX($C$114:$C$123, N22) - N35)/13</f>
        <v>107.0076923076923</v>
      </c>
      <c r="O132" cm="1">
        <f t="array" ref="O132">(14*INDEX($C$114:$C$123, O22) - O35)/13</f>
        <v>110.50461538461538</v>
      </c>
      <c r="P132" cm="1">
        <f t="array" ref="P132">(14*INDEX($C$114:$C$123, P22) - P35)/13</f>
        <v>99.68</v>
      </c>
      <c r="R132">
        <f t="shared" si="75"/>
        <v>1438.8107692307688</v>
      </c>
      <c r="T132">
        <f t="shared" si="76"/>
        <v>40.370769230768929</v>
      </c>
    </row>
    <row r="133" spans="2:20" x14ac:dyDescent="0.3">
      <c r="B133" t="str">
        <f t="shared" si="74"/>
        <v>HotDog</v>
      </c>
      <c r="C133" cm="1">
        <f t="array" ref="C133">(14*INDEX($C$114:$C$123, C23) - C36)/13</f>
        <v>104.20000000000003</v>
      </c>
      <c r="D133" cm="1">
        <f t="array" ref="D133">(14*INDEX($C$114:$C$123, D23) - D36)/13</f>
        <v>103.8507692307692</v>
      </c>
      <c r="E133" cm="1">
        <f t="array" ref="E133">(14*INDEX($C$114:$C$123, E23) - E36)/13</f>
        <v>120.16615384615382</v>
      </c>
      <c r="F133" cm="1">
        <f t="array" ref="F133">(14*INDEX($C$114:$C$123, F23) - F36)/13</f>
        <v>86.933846153846147</v>
      </c>
      <c r="G133" cm="1">
        <f t="array" ref="G133">(14*INDEX($C$114:$C$123, G23) - G36)/13</f>
        <v>112.86153846153844</v>
      </c>
      <c r="H133" cm="1">
        <f t="array" ref="H133">(14*INDEX($C$114:$C$123, H23) - H36)/13</f>
        <v>103.58769230769229</v>
      </c>
      <c r="I133" cm="1">
        <f t="array" ref="I133">(14*INDEX($C$114:$C$123, I23) - I36)/13</f>
        <v>98.163076923076943</v>
      </c>
      <c r="J133" cm="1">
        <f t="array" ref="J133">(14*INDEX($C$114:$C$123, J23) - J36)/13</f>
        <v>100.52769230769232</v>
      </c>
      <c r="K133" cm="1">
        <f t="array" ref="K133">(14*INDEX($C$114:$C$123, K23) - K36)/13</f>
        <v>108.75384615384611</v>
      </c>
      <c r="L133" cm="1">
        <f t="array" ref="L133">(14*INDEX($C$114:$C$123, L23) - L36)/13</f>
        <v>104.08615384615388</v>
      </c>
      <c r="M133" cm="1">
        <f t="array" ref="M133">(14*INDEX($C$114:$C$123, M23) - M36)/13</f>
        <v>108.56923076923076</v>
      </c>
      <c r="N133" cm="1">
        <f t="array" ref="N133">(14*INDEX($C$114:$C$123, N23) - N36)/13</f>
        <v>117.69384615384612</v>
      </c>
      <c r="O133" cm="1">
        <f t="array" ref="O133">(14*INDEX($C$114:$C$123, O23) - O36)/13</f>
        <v>89</v>
      </c>
      <c r="P133" cm="1">
        <f t="array" ref="P133">(14*INDEX($C$114:$C$123, P23) - P36)/13</f>
        <v>103.56615384615384</v>
      </c>
      <c r="R133">
        <f t="shared" si="75"/>
        <v>1461.9599999999998</v>
      </c>
      <c r="T133">
        <f t="shared" si="76"/>
        <v>135.03999999999996</v>
      </c>
    </row>
    <row r="134" spans="2:20" x14ac:dyDescent="0.3">
      <c r="B134">
        <f t="shared" si="74"/>
        <v>141</v>
      </c>
      <c r="C134" cm="1">
        <f t="array" ref="C134">(14*INDEX($C$114:$C$123, C24) - C37)/13</f>
        <v>106.32461538461536</v>
      </c>
      <c r="D134" cm="1">
        <f t="array" ref="D134">(14*INDEX($C$114:$C$123, D24) - D37)/13</f>
        <v>102.05692307692311</v>
      </c>
      <c r="E134" cm="1">
        <f t="array" ref="E134">(14*INDEX($C$114:$C$123, E24) - E37)/13</f>
        <v>106.48615384615383</v>
      </c>
      <c r="F134" cm="1">
        <f t="array" ref="F134">(14*INDEX($C$114:$C$123, F24) - F37)/13</f>
        <v>115.2907692307692</v>
      </c>
      <c r="G134" cm="1">
        <f t="array" ref="G134">(14*INDEX($C$114:$C$123, G24) - G37)/13</f>
        <v>104.30769230769231</v>
      </c>
      <c r="H134" cm="1">
        <f t="array" ref="H134">(14*INDEX($C$114:$C$123, H24) - H37)/13</f>
        <v>84.727692307692308</v>
      </c>
      <c r="I134" cm="1">
        <f t="array" ref="I134">(14*INDEX($C$114:$C$123, I24) - I37)/13</f>
        <v>100.12461538461538</v>
      </c>
      <c r="J134" cm="1">
        <f t="array" ref="J134">(14*INDEX($C$114:$C$123, J24) - J37)/13</f>
        <v>100.02769230769232</v>
      </c>
      <c r="K134" cm="1">
        <f t="array" ref="K134">(14*INDEX($C$114:$C$123, K24) - K37)/13</f>
        <v>100.12153846153845</v>
      </c>
      <c r="L134" cm="1">
        <f t="array" ref="L134">(14*INDEX($C$114:$C$123, L24) - L37)/13</f>
        <v>103.43538461538456</v>
      </c>
      <c r="M134" cm="1">
        <f t="array" ref="M134">(14*INDEX($C$114:$C$123, M24) - M37)/13</f>
        <v>102.96769230769233</v>
      </c>
      <c r="N134" cm="1">
        <f t="array" ref="N134">(14*INDEX($C$114:$C$123, N24) - N37)/13</f>
        <v>105.65999999999998</v>
      </c>
      <c r="O134" cm="1">
        <f t="array" ref="O134">(14*INDEX($C$114:$C$123, O24) - O37)/13</f>
        <v>119.23999999999995</v>
      </c>
      <c r="P134" cm="1">
        <f t="array" ref="P134">(14*INDEX($C$114:$C$123, P24) - P37)/13</f>
        <v>105.33846153846153</v>
      </c>
      <c r="R134">
        <f t="shared" si="75"/>
        <v>1456.1092307692309</v>
      </c>
      <c r="T134">
        <f t="shared" si="76"/>
        <v>-199.87076923076938</v>
      </c>
    </row>
    <row r="135" spans="2:20" x14ac:dyDescent="0.3">
      <c r="B135" t="str">
        <f t="shared" si="74"/>
        <v>Brills</v>
      </c>
      <c r="C135" cm="1">
        <f t="array" ref="C135">(14*INDEX($C$114:$C$123, C25) - C38)/13</f>
        <v>104.32153846153845</v>
      </c>
      <c r="D135" cm="1">
        <f t="array" ref="D135">(14*INDEX($C$114:$C$123, D25) - D38)/13</f>
        <v>102.13846153846156</v>
      </c>
      <c r="E135" cm="1">
        <f t="array" ref="E135">(14*INDEX($C$114:$C$123, E25) - E38)/13</f>
        <v>83.875384615384604</v>
      </c>
      <c r="F135" cm="1">
        <f t="array" ref="F135">(14*INDEX($C$114:$C$123, F25) - F38)/13</f>
        <v>106.60153846153842</v>
      </c>
      <c r="G135" cm="1">
        <f t="array" ref="G135">(14*INDEX($C$114:$C$123, G25) - G38)/13</f>
        <v>102.59538461538465</v>
      </c>
      <c r="H135" cm="1">
        <f t="array" ref="H135">(14*INDEX($C$114:$C$123, H25) - H38)/13</f>
        <v>107.01384615384615</v>
      </c>
      <c r="I135" cm="1">
        <f t="array" ref="I135">(14*INDEX($C$114:$C$123, I25) - I38)/13</f>
        <v>118.77384615384611</v>
      </c>
      <c r="J135" cm="1">
        <f t="array" ref="J135">(14*INDEX($C$114:$C$123, J25) - J38)/13</f>
        <v>106.10461538461537</v>
      </c>
      <c r="K135" cm="1">
        <f t="array" ref="K135">(14*INDEX($C$114:$C$123, K25) - K38)/13</f>
        <v>109.6</v>
      </c>
      <c r="L135" cm="1">
        <f t="array" ref="L135">(14*INDEX($C$114:$C$123, L25) - L38)/13</f>
        <v>103.17999999999999</v>
      </c>
      <c r="M135" cm="1">
        <f t="array" ref="M135">(14*INDEX($C$114:$C$123, M25) - M38)/13</f>
        <v>100.8246153846154</v>
      </c>
      <c r="N135" cm="1">
        <f t="array" ref="N135">(14*INDEX($C$114:$C$123, N25) - N38)/13</f>
        <v>89.973846153846139</v>
      </c>
      <c r="O135" cm="1">
        <f t="array" ref="O135">(14*INDEX($C$114:$C$123, O25) - O38)/13</f>
        <v>109.01538461538459</v>
      </c>
      <c r="P135" cm="1">
        <f t="array" ref="P135">(14*INDEX($C$114:$C$123, P25) - P38)/13</f>
        <v>102.60923076923079</v>
      </c>
      <c r="R135">
        <f t="shared" si="75"/>
        <v>1446.6276923076923</v>
      </c>
      <c r="T135">
        <f t="shared" si="76"/>
        <v>92.007692307691968</v>
      </c>
    </row>
    <row r="137" spans="2:20" x14ac:dyDescent="0.3">
      <c r="B137" t="s">
        <v>24</v>
      </c>
    </row>
    <row r="138" spans="2:20" x14ac:dyDescent="0.3">
      <c r="B138" s="2" t="str">
        <f>B2</f>
        <v>Bone</v>
      </c>
      <c r="C138" s="2">
        <f>ROUND(T126/14, 2)</f>
        <v>5.85</v>
      </c>
      <c r="E138" t="str">
        <f>_xlfn.CONCAT("[",_xlfn.TEXTJOIN(", ",TRUE, C138:C147), "];")</f>
        <v>[5.85, 4.36, 0.97, -6.7, -8.21, -1.08, 2.88, 9.65, -14.28, 6.57];</v>
      </c>
    </row>
    <row r="139" spans="2:20" x14ac:dyDescent="0.3">
      <c r="B139" s="2" t="str">
        <f t="shared" ref="B139:B147" si="77">B3</f>
        <v>not last</v>
      </c>
      <c r="C139" s="2">
        <f t="shared" ref="C139:C147" si="78">ROUND(T127/14, 2)</f>
        <v>4.3600000000000003</v>
      </c>
    </row>
    <row r="140" spans="2:20" x14ac:dyDescent="0.3">
      <c r="B140" s="2" t="str">
        <f t="shared" si="77"/>
        <v>Jeanty</v>
      </c>
      <c r="C140" s="2">
        <f t="shared" si="78"/>
        <v>0.97</v>
      </c>
      <c r="E140" t="s">
        <v>210</v>
      </c>
    </row>
    <row r="141" spans="2:20" x14ac:dyDescent="0.3">
      <c r="B141" s="2" t="str">
        <f t="shared" si="77"/>
        <v>mahoms</v>
      </c>
      <c r="C141" s="2">
        <f t="shared" si="78"/>
        <v>-6.7</v>
      </c>
    </row>
    <row r="142" spans="2:20" x14ac:dyDescent="0.3">
      <c r="B142" s="2" t="str">
        <f t="shared" si="77"/>
        <v>Jamara</v>
      </c>
      <c r="C142" s="2">
        <f t="shared" si="78"/>
        <v>-8.2100000000000009</v>
      </c>
    </row>
    <row r="143" spans="2:20" x14ac:dyDescent="0.3">
      <c r="B143" s="2" t="str">
        <f t="shared" si="77"/>
        <v>johnathan</v>
      </c>
      <c r="C143" s="2">
        <f t="shared" si="78"/>
        <v>-1.08</v>
      </c>
    </row>
    <row r="144" spans="2:20" x14ac:dyDescent="0.3">
      <c r="B144" s="2" t="str">
        <f t="shared" si="77"/>
        <v>chiefs</v>
      </c>
      <c r="C144" s="2">
        <f t="shared" si="78"/>
        <v>2.88</v>
      </c>
    </row>
    <row r="145" spans="2:19" x14ac:dyDescent="0.3">
      <c r="B145" s="2" t="str">
        <f t="shared" si="77"/>
        <v>HotDog</v>
      </c>
      <c r="C145" s="2">
        <f t="shared" si="78"/>
        <v>9.65</v>
      </c>
    </row>
    <row r="146" spans="2:19" x14ac:dyDescent="0.3">
      <c r="B146" s="2">
        <f t="shared" si="77"/>
        <v>141</v>
      </c>
      <c r="C146" s="2">
        <f t="shared" si="78"/>
        <v>-14.28</v>
      </c>
    </row>
    <row r="147" spans="2:19" x14ac:dyDescent="0.3">
      <c r="B147" s="2" t="str">
        <f t="shared" si="77"/>
        <v>Brills</v>
      </c>
      <c r="C147" s="2">
        <f t="shared" si="78"/>
        <v>6.57</v>
      </c>
    </row>
    <row r="149" spans="2:19" x14ac:dyDescent="0.3">
      <c r="B149" s="3" t="s">
        <v>25</v>
      </c>
      <c r="C149" t="s">
        <v>26</v>
      </c>
      <c r="E149" t="str">
        <f>_xlfn.CONCAT("[",_xlfn.TEXTJOIN(", ",TRUE, C150:C159), "];")</f>
        <v>[2406, 1681.2, 1821.1, 2213.2, 1601.58, 1878.2, 2074.4, 2006.8, 1616.6, 1871.1];</v>
      </c>
      <c r="N149" t="s">
        <v>211</v>
      </c>
    </row>
    <row r="150" spans="2:19" x14ac:dyDescent="0.3">
      <c r="B150" s="2" t="str">
        <f>B2</f>
        <v>Bone</v>
      </c>
      <c r="C150">
        <f t="shared" ref="C150:C159" si="79">SUM(D150:S150)</f>
        <v>2406</v>
      </c>
      <c r="D150">
        <f>276.3-40.5-23.4</f>
        <v>212.4</v>
      </c>
      <c r="E150">
        <f>227.9-34.9</f>
        <v>193</v>
      </c>
      <c r="F150">
        <f>145.7</f>
        <v>145.69999999999999</v>
      </c>
      <c r="G150">
        <f>221.2-31.3</f>
        <v>189.89999999999998</v>
      </c>
      <c r="H150">
        <f>177.4-22.1</f>
        <v>155.30000000000001</v>
      </c>
      <c r="I150">
        <f>86.9</f>
        <v>86.9</v>
      </c>
      <c r="J150">
        <f>228.6-19.18</f>
        <v>209.42</v>
      </c>
      <c r="K150">
        <f>123.6-8.6</f>
        <v>115</v>
      </c>
      <c r="L150">
        <f>52.1-7</f>
        <v>45.1</v>
      </c>
      <c r="M150">
        <f>152.5-4.1</f>
        <v>148.4</v>
      </c>
      <c r="N150">
        <f>241.5-10.4</f>
        <v>231.1</v>
      </c>
      <c r="O150">
        <f>256.6-19.98</f>
        <v>236.62000000000003</v>
      </c>
      <c r="P150">
        <f>65.6-4.9</f>
        <v>60.699999999999996</v>
      </c>
      <c r="Q150">
        <f>231.4-13.94</f>
        <v>217.46</v>
      </c>
      <c r="R150">
        <f>161-2</f>
        <v>159</v>
      </c>
      <c r="S150">
        <v>0</v>
      </c>
    </row>
    <row r="151" spans="2:19" x14ac:dyDescent="0.3">
      <c r="B151" s="2" t="str">
        <f t="shared" ref="B151:B159" si="80">B3</f>
        <v>not last</v>
      </c>
      <c r="C151">
        <f>SUM(D151:S151)</f>
        <v>1681.2</v>
      </c>
      <c r="D151">
        <f>286.4-7.8</f>
        <v>278.59999999999997</v>
      </c>
      <c r="E151">
        <f>175.6-22</f>
        <v>153.6</v>
      </c>
      <c r="F151">
        <f>172.6-12.5</f>
        <v>160.1</v>
      </c>
      <c r="G151">
        <f>64-5.5</f>
        <v>58.5</v>
      </c>
      <c r="H151">
        <f>143.8-14.3</f>
        <v>129.5</v>
      </c>
      <c r="I151">
        <f>105.4</f>
        <v>105.4</v>
      </c>
      <c r="J151">
        <f>86.6-8.6</f>
        <v>78</v>
      </c>
      <c r="K151">
        <f>80.6-8</f>
        <v>72.599999999999994</v>
      </c>
      <c r="L151">
        <f>101.9-15.6</f>
        <v>86.300000000000011</v>
      </c>
      <c r="M151">
        <f>8.3-0.4</f>
        <v>7.9</v>
      </c>
      <c r="N151">
        <f>118.5-9</f>
        <v>109.5</v>
      </c>
      <c r="O151">
        <f>77</f>
        <v>77</v>
      </c>
      <c r="P151">
        <f>103.5-1.8</f>
        <v>101.7</v>
      </c>
      <c r="Q151">
        <f>94-9</f>
        <v>85</v>
      </c>
      <c r="R151">
        <f>61.5</f>
        <v>61.5</v>
      </c>
      <c r="S151">
        <v>116</v>
      </c>
    </row>
    <row r="152" spans="2:19" x14ac:dyDescent="0.3">
      <c r="B152" s="2" t="str">
        <f t="shared" si="80"/>
        <v>Jeanty</v>
      </c>
      <c r="C152">
        <f t="shared" si="79"/>
        <v>1821.1000000000001</v>
      </c>
      <c r="D152">
        <f>167.1-6.2</f>
        <v>160.9</v>
      </c>
      <c r="E152">
        <f>158-11.1</f>
        <v>146.9</v>
      </c>
      <c r="F152">
        <f>270.8-22.9</f>
        <v>247.9</v>
      </c>
      <c r="G152">
        <f>192.9-9.1</f>
        <v>183.8</v>
      </c>
      <c r="H152">
        <f>151.5-13</f>
        <v>138.5</v>
      </c>
      <c r="I152">
        <f>64.1-2.1</f>
        <v>61.999999999999993</v>
      </c>
      <c r="J152">
        <f>81.9-3.2</f>
        <v>78.7</v>
      </c>
      <c r="K152">
        <f>96.4-2.8</f>
        <v>93.600000000000009</v>
      </c>
      <c r="L152">
        <f>110.4</f>
        <v>110.4</v>
      </c>
      <c r="M152">
        <f>39.4-12</f>
        <v>27.4</v>
      </c>
      <c r="N152">
        <f>126-6.1</f>
        <v>119.9</v>
      </c>
      <c r="O152">
        <f>30</f>
        <v>30</v>
      </c>
      <c r="P152">
        <f>93.1-8.1</f>
        <v>85</v>
      </c>
      <c r="Q152">
        <f>159.6-14.6</f>
        <v>145</v>
      </c>
      <c r="R152">
        <f>86</f>
        <v>86</v>
      </c>
      <c r="S152">
        <f>108.2-3.1</f>
        <v>105.10000000000001</v>
      </c>
    </row>
    <row r="153" spans="2:19" x14ac:dyDescent="0.3">
      <c r="B153" s="2" t="str">
        <f t="shared" si="80"/>
        <v>mahoms</v>
      </c>
      <c r="C153">
        <f t="shared" si="79"/>
        <v>2213.1999999999998</v>
      </c>
      <c r="D153">
        <f>128.6-3.2</f>
        <v>125.39999999999999</v>
      </c>
      <c r="E153">
        <f>99.7-15.1</f>
        <v>84.600000000000009</v>
      </c>
      <c r="F153">
        <f>219.6-31.4</f>
        <v>188.2</v>
      </c>
      <c r="G153">
        <f>277.3-19.6-14.8</f>
        <v>242.89999999999998</v>
      </c>
      <c r="H153">
        <f>29.3</f>
        <v>29.3</v>
      </c>
      <c r="I153">
        <f>285.2-13.06</f>
        <v>272.14</v>
      </c>
      <c r="J153">
        <f>142.5-9.2</f>
        <v>133.30000000000001</v>
      </c>
      <c r="K153">
        <f>124.1</f>
        <v>124.1</v>
      </c>
      <c r="L153">
        <f>119.9-9.6</f>
        <v>110.30000000000001</v>
      </c>
      <c r="M153">
        <f>259.6-29.08</f>
        <v>230.52000000000004</v>
      </c>
      <c r="N153">
        <f>10.6</f>
        <v>10.6</v>
      </c>
      <c r="O153">
        <f>271.2-11.96</f>
        <v>259.24</v>
      </c>
      <c r="P153">
        <f>125.1-9.1-9.6</f>
        <v>106.4</v>
      </c>
      <c r="Q153">
        <f>101.2</f>
        <v>101.2</v>
      </c>
      <c r="R153">
        <f>127-11</f>
        <v>116</v>
      </c>
      <c r="S153">
        <v>79</v>
      </c>
    </row>
    <row r="154" spans="2:19" x14ac:dyDescent="0.3">
      <c r="B154" s="2" t="str">
        <f t="shared" si="80"/>
        <v>Jamara</v>
      </c>
      <c r="C154">
        <f t="shared" si="79"/>
        <v>1601.5800000000002</v>
      </c>
      <c r="D154">
        <f>194.6-18.2</f>
        <v>176.4</v>
      </c>
      <c r="E154">
        <f>334.5-24.52</f>
        <v>309.98</v>
      </c>
      <c r="F154">
        <f>100.3-7.6</f>
        <v>92.7</v>
      </c>
      <c r="G154">
        <f>154.4-23.9-2.4</f>
        <v>128.1</v>
      </c>
      <c r="H154">
        <f>43.2-16.2</f>
        <v>27.000000000000004</v>
      </c>
      <c r="I154">
        <f>69.8</f>
        <v>69.8</v>
      </c>
      <c r="J154">
        <f>143.1-10.5</f>
        <v>132.6</v>
      </c>
      <c r="K154">
        <f>154.9-8.4</f>
        <v>146.5</v>
      </c>
      <c r="L154">
        <f>150.2-6.3</f>
        <v>143.89999999999998</v>
      </c>
      <c r="M154">
        <f>24.1-5.7</f>
        <v>18.400000000000002</v>
      </c>
      <c r="N154">
        <f>86.1-8.8</f>
        <v>77.3</v>
      </c>
      <c r="O154">
        <f>14.3</f>
        <v>14.3</v>
      </c>
      <c r="P154">
        <f>54.9-5</f>
        <v>49.9</v>
      </c>
      <c r="Q154">
        <f>40.7</f>
        <v>40.700000000000003</v>
      </c>
      <c r="R154">
        <f>121-10</f>
        <v>111</v>
      </c>
      <c r="S154">
        <f>63</f>
        <v>63</v>
      </c>
    </row>
    <row r="155" spans="2:19" x14ac:dyDescent="0.3">
      <c r="B155" s="2" t="str">
        <f t="shared" si="80"/>
        <v>johnathan</v>
      </c>
      <c r="C155">
        <f t="shared" si="79"/>
        <v>1878.1999999999998</v>
      </c>
      <c r="D155">
        <f>185.8-16.2</f>
        <v>169.60000000000002</v>
      </c>
      <c r="E155">
        <f>303.1-11.6</f>
        <v>291.5</v>
      </c>
      <c r="F155">
        <f>43</f>
        <v>43</v>
      </c>
      <c r="G155">
        <f>81.5</f>
        <v>81.5</v>
      </c>
      <c r="H155">
        <f>84.2</f>
        <v>84.2</v>
      </c>
      <c r="I155">
        <f>123-20.9</f>
        <v>102.1</v>
      </c>
      <c r="J155">
        <f>145.3-10.5</f>
        <v>134.80000000000001</v>
      </c>
      <c r="K155">
        <f>164.3-17.5</f>
        <v>146.80000000000001</v>
      </c>
      <c r="L155">
        <f>124.6-4.1</f>
        <v>120.5</v>
      </c>
      <c r="M155">
        <f>133.8-5.8</f>
        <v>128</v>
      </c>
      <c r="N155">
        <f>96.7-7.6</f>
        <v>89.100000000000009</v>
      </c>
      <c r="O155">
        <f>0</f>
        <v>0</v>
      </c>
      <c r="P155">
        <f>166-23.4</f>
        <v>142.6</v>
      </c>
      <c r="Q155">
        <f>113-6</f>
        <v>107</v>
      </c>
      <c r="R155">
        <f>151.4-13.9</f>
        <v>137.5</v>
      </c>
      <c r="S155">
        <f>108-8</f>
        <v>100</v>
      </c>
    </row>
    <row r="156" spans="2:19" x14ac:dyDescent="0.3">
      <c r="B156" s="2" t="str">
        <f t="shared" si="80"/>
        <v>chiefs</v>
      </c>
      <c r="C156">
        <f t="shared" si="79"/>
        <v>2074.3999999999996</v>
      </c>
      <c r="D156">
        <f>48.1</f>
        <v>48.1</v>
      </c>
      <c r="E156">
        <f>260.1-15.7</f>
        <v>244.40000000000003</v>
      </c>
      <c r="F156">
        <f>132-3</f>
        <v>129</v>
      </c>
      <c r="G156">
        <f>250.1-30.1</f>
        <v>220</v>
      </c>
      <c r="H156">
        <f>162.5-4.7</f>
        <v>157.80000000000001</v>
      </c>
      <c r="I156">
        <f>140.6-17.7</f>
        <v>122.89999999999999</v>
      </c>
      <c r="J156">
        <f>139.9-6</f>
        <v>133.9</v>
      </c>
      <c r="K156">
        <f>211.7-4.8</f>
        <v>206.89999999999998</v>
      </c>
      <c r="L156">
        <f>104.4-26.2</f>
        <v>78.2</v>
      </c>
      <c r="M156">
        <f>136.1-22</f>
        <v>114.1</v>
      </c>
      <c r="N156">
        <f>27.3-8</f>
        <v>19.3</v>
      </c>
      <c r="O156">
        <f>129-15.4-3.1</f>
        <v>110.5</v>
      </c>
      <c r="P156">
        <f>10.1</f>
        <v>10.1</v>
      </c>
      <c r="Q156">
        <f>311-30.88-20.92</f>
        <v>259.2</v>
      </c>
      <c r="R156">
        <f>151-12</f>
        <v>139</v>
      </c>
      <c r="S156">
        <f>76+5</f>
        <v>81</v>
      </c>
    </row>
    <row r="157" spans="2:19" x14ac:dyDescent="0.3">
      <c r="B157" s="2" t="str">
        <f t="shared" si="80"/>
        <v>HotDog</v>
      </c>
      <c r="C157">
        <f t="shared" si="79"/>
        <v>2006.8</v>
      </c>
      <c r="D157">
        <f>147.3-14.1</f>
        <v>133.20000000000002</v>
      </c>
      <c r="E157">
        <f>214.5-22.2</f>
        <v>192.3</v>
      </c>
      <c r="F157">
        <f>189.7-14.6</f>
        <v>175.1</v>
      </c>
      <c r="G157">
        <f>106.6-18.8</f>
        <v>87.8</v>
      </c>
      <c r="H157">
        <f>161.5-29.1</f>
        <v>132.4</v>
      </c>
      <c r="I157">
        <f>158.1-20.8</f>
        <v>137.29999999999998</v>
      </c>
      <c r="J157">
        <f>38.8</f>
        <v>38.799999999999997</v>
      </c>
      <c r="K157">
        <f>59.6-12.6</f>
        <v>47</v>
      </c>
      <c r="L157">
        <f>110.9-2.9</f>
        <v>108</v>
      </c>
      <c r="M157">
        <f>208-15.1</f>
        <v>192.9</v>
      </c>
      <c r="N157">
        <f>206.8-30</f>
        <v>176.8</v>
      </c>
      <c r="O157">
        <f>142.7</f>
        <v>142.69999999999999</v>
      </c>
      <c r="P157">
        <f>75.3-8.8</f>
        <v>66.5</v>
      </c>
      <c r="Q157">
        <f>149.2-3.2</f>
        <v>146</v>
      </c>
      <c r="R157">
        <f>141-6</f>
        <v>135</v>
      </c>
      <c r="S157">
        <f>99-4</f>
        <v>95</v>
      </c>
    </row>
    <row r="158" spans="2:19" x14ac:dyDescent="0.3">
      <c r="B158" s="2">
        <f t="shared" si="80"/>
        <v>141</v>
      </c>
      <c r="C158">
        <f t="shared" si="79"/>
        <v>1616.6000000000001</v>
      </c>
      <c r="D158">
        <f>261.8-25.5</f>
        <v>236.3</v>
      </c>
      <c r="E158">
        <f>132.4-5.8</f>
        <v>126.60000000000001</v>
      </c>
      <c r="F158">
        <f>147</f>
        <v>147</v>
      </c>
      <c r="G158">
        <f>87.7-7</f>
        <v>80.7</v>
      </c>
      <c r="H158">
        <f>102.5-4.3</f>
        <v>98.2</v>
      </c>
      <c r="I158">
        <f>150.6-3.5</f>
        <v>147.1</v>
      </c>
      <c r="J158">
        <f>49.8</f>
        <v>49.8</v>
      </c>
      <c r="K158">
        <f>103.9-23.2</f>
        <v>80.7</v>
      </c>
      <c r="L158">
        <f>77.8</f>
        <v>77.8</v>
      </c>
      <c r="M158">
        <f>115.7</f>
        <v>115.7</v>
      </c>
      <c r="N158">
        <f>113.5-17.2</f>
        <v>96.3</v>
      </c>
      <c r="O158">
        <f>134.1-3.4</f>
        <v>130.69999999999999</v>
      </c>
      <c r="P158">
        <f>28.9</f>
        <v>28.9</v>
      </c>
      <c r="Q158">
        <f>81.7-0.9</f>
        <v>80.8</v>
      </c>
      <c r="R158">
        <f>36-8</f>
        <v>28</v>
      </c>
      <c r="S158">
        <f>94-2</f>
        <v>92</v>
      </c>
    </row>
    <row r="159" spans="2:19" x14ac:dyDescent="0.3">
      <c r="B159" s="2" t="str">
        <f t="shared" si="80"/>
        <v>Brills</v>
      </c>
      <c r="C159">
        <f t="shared" si="79"/>
        <v>1871.1</v>
      </c>
      <c r="D159">
        <f>301.2-15.2</f>
        <v>286</v>
      </c>
      <c r="E159">
        <f>191-10</f>
        <v>181</v>
      </c>
      <c r="F159">
        <f>114.3</f>
        <v>114.3</v>
      </c>
      <c r="G159">
        <f>71.9-14.4</f>
        <v>57.500000000000007</v>
      </c>
      <c r="H159">
        <f>83.7-4.5</f>
        <v>79.2</v>
      </c>
      <c r="I159">
        <f>162.8-22.9</f>
        <v>139.9</v>
      </c>
      <c r="J159">
        <f>151.7-3.6</f>
        <v>148.1</v>
      </c>
      <c r="K159">
        <f>63.1-1.7</f>
        <v>61.4</v>
      </c>
      <c r="L159">
        <f>87-9.2</f>
        <v>77.8</v>
      </c>
      <c r="M159">
        <f>87.8-5.4-7.1</f>
        <v>75.3</v>
      </c>
      <c r="N159">
        <f>75.5</f>
        <v>75.5</v>
      </c>
      <c r="O159">
        <f>279.6-20.5</f>
        <v>259.10000000000002</v>
      </c>
      <c r="P159">
        <f>100.3-4.9</f>
        <v>95.399999999999991</v>
      </c>
      <c r="Q159">
        <f>109.1-23.5</f>
        <v>85.6</v>
      </c>
      <c r="R159">
        <f>67-20</f>
        <v>47</v>
      </c>
      <c r="S159">
        <f>95-7</f>
        <v>88</v>
      </c>
    </row>
    <row r="162" spans="2:5" x14ac:dyDescent="0.3">
      <c r="B162" s="2" t="s">
        <v>36</v>
      </c>
    </row>
    <row r="163" spans="2:5" x14ac:dyDescent="0.3">
      <c r="B163" s="2" t="str">
        <f>B2</f>
        <v>Bone</v>
      </c>
      <c r="C163">
        <v>303.92</v>
      </c>
      <c r="E163" t="str">
        <f>_xlfn.CONCAT("[",_xlfn.TEXTJOIN(", ",TRUE, C163:C172), "];")</f>
        <v>[303.92, 203.7, 319.72, 150.7, 207.2, 235.64, 374.2, 162.3, 250.74, 239.8];</v>
      </c>
    </row>
    <row r="164" spans="2:5" x14ac:dyDescent="0.3">
      <c r="B164" s="2" t="str">
        <f t="shared" ref="B164:B172" si="81">B3</f>
        <v>not last</v>
      </c>
      <c r="C164">
        <v>203.7</v>
      </c>
    </row>
    <row r="165" spans="2:5" x14ac:dyDescent="0.3">
      <c r="B165" s="2" t="str">
        <f t="shared" si="81"/>
        <v>Jeanty</v>
      </c>
      <c r="C165">
        <v>319.72000000000003</v>
      </c>
      <c r="E165" t="s">
        <v>37</v>
      </c>
    </row>
    <row r="166" spans="2:5" x14ac:dyDescent="0.3">
      <c r="B166" s="2" t="str">
        <f t="shared" si="81"/>
        <v>mahoms</v>
      </c>
      <c r="C166">
        <v>150.69999999999999</v>
      </c>
    </row>
    <row r="167" spans="2:5" x14ac:dyDescent="0.3">
      <c r="B167" s="2" t="str">
        <f t="shared" si="81"/>
        <v>Jamara</v>
      </c>
      <c r="C167">
        <v>207.2</v>
      </c>
    </row>
    <row r="168" spans="2:5" x14ac:dyDescent="0.3">
      <c r="B168" s="2" t="str">
        <f t="shared" si="81"/>
        <v>johnathan</v>
      </c>
      <c r="C168">
        <v>235.64</v>
      </c>
    </row>
    <row r="169" spans="2:5" x14ac:dyDescent="0.3">
      <c r="B169" s="2" t="str">
        <f t="shared" si="81"/>
        <v>chiefs</v>
      </c>
      <c r="C169">
        <v>374.2</v>
      </c>
    </row>
    <row r="170" spans="2:5" x14ac:dyDescent="0.3">
      <c r="B170" s="2" t="str">
        <f t="shared" si="81"/>
        <v>HotDog</v>
      </c>
      <c r="C170">
        <v>162.30000000000001</v>
      </c>
    </row>
    <row r="171" spans="2:5" x14ac:dyDescent="0.3">
      <c r="B171" s="2">
        <f t="shared" si="81"/>
        <v>141</v>
      </c>
      <c r="C171">
        <v>250.74</v>
      </c>
    </row>
    <row r="172" spans="2:5" x14ac:dyDescent="0.3">
      <c r="B172" s="2" t="str">
        <f t="shared" si="81"/>
        <v>Brills</v>
      </c>
      <c r="C172">
        <v>239.8</v>
      </c>
    </row>
    <row r="174" spans="2:5" x14ac:dyDescent="0.3">
      <c r="B174" s="2" t="s">
        <v>38</v>
      </c>
    </row>
    <row r="175" spans="2:5" x14ac:dyDescent="0.3">
      <c r="B175" s="2" t="str">
        <f>B2</f>
        <v>Bone</v>
      </c>
      <c r="C175">
        <v>19</v>
      </c>
      <c r="E175" t="str">
        <f>_xlfn.CONCAT("[",_xlfn.TEXTJOIN(", ",TRUE, C175:C184), "];")</f>
        <v>[19, 23, 11, 3, 11, 20, 11, 14, 22, 15];</v>
      </c>
    </row>
    <row r="176" spans="2:5" x14ac:dyDescent="0.3">
      <c r="B176" s="2" t="str">
        <f t="shared" ref="B176:B184" si="82">B3</f>
        <v>not last</v>
      </c>
      <c r="C176">
        <v>23</v>
      </c>
    </row>
    <row r="177" spans="2:5" x14ac:dyDescent="0.3">
      <c r="B177" s="2" t="str">
        <f t="shared" si="82"/>
        <v>Jeanty</v>
      </c>
      <c r="C177">
        <v>11</v>
      </c>
      <c r="E177" t="s">
        <v>209</v>
      </c>
    </row>
    <row r="178" spans="2:5" x14ac:dyDescent="0.3">
      <c r="B178" s="2" t="str">
        <f t="shared" si="82"/>
        <v>mahoms</v>
      </c>
      <c r="C178">
        <v>3</v>
      </c>
    </row>
    <row r="179" spans="2:5" x14ac:dyDescent="0.3">
      <c r="B179" s="2" t="str">
        <f t="shared" si="82"/>
        <v>Jamara</v>
      </c>
      <c r="C179">
        <v>11</v>
      </c>
    </row>
    <row r="180" spans="2:5" x14ac:dyDescent="0.3">
      <c r="B180" s="2" t="str">
        <f t="shared" si="82"/>
        <v>johnathan</v>
      </c>
      <c r="C180">
        <v>20</v>
      </c>
    </row>
    <row r="181" spans="2:5" x14ac:dyDescent="0.3">
      <c r="B181" s="2" t="str">
        <f t="shared" si="82"/>
        <v>chiefs</v>
      </c>
      <c r="C181">
        <v>11</v>
      </c>
    </row>
    <row r="182" spans="2:5" x14ac:dyDescent="0.3">
      <c r="B182" s="2" t="str">
        <f t="shared" si="82"/>
        <v>HotDog</v>
      </c>
      <c r="C182">
        <v>14</v>
      </c>
    </row>
    <row r="183" spans="2:5" x14ac:dyDescent="0.3">
      <c r="B183" s="2">
        <f t="shared" si="82"/>
        <v>141</v>
      </c>
      <c r="C183">
        <v>22</v>
      </c>
    </row>
    <row r="184" spans="2:5" x14ac:dyDescent="0.3">
      <c r="B184" s="2" t="str">
        <f t="shared" si="82"/>
        <v>Brills</v>
      </c>
      <c r="C184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3CB8-A6A3-4B80-8C34-1D9F75E4717E}">
  <dimension ref="A1:AS98"/>
  <sheetViews>
    <sheetView workbookViewId="0">
      <selection activeCell="A29" sqref="A29:F77"/>
    </sheetView>
  </sheetViews>
  <sheetFormatPr defaultRowHeight="14.4" x14ac:dyDescent="0.3"/>
  <sheetData>
    <row r="1" spans="2:45" x14ac:dyDescent="0.3">
      <c r="B1" t="s">
        <v>39</v>
      </c>
      <c r="C1" t="s">
        <v>40</v>
      </c>
      <c r="D1" t="s">
        <v>41</v>
      </c>
      <c r="E1" t="s">
        <v>39</v>
      </c>
      <c r="F1" t="s">
        <v>42</v>
      </c>
      <c r="G1" t="s">
        <v>43</v>
      </c>
      <c r="H1" t="s">
        <v>47</v>
      </c>
      <c r="I1" t="s">
        <v>44</v>
      </c>
      <c r="J1" t="s">
        <v>46</v>
      </c>
      <c r="K1" t="s">
        <v>45</v>
      </c>
      <c r="O1" t="s">
        <v>68</v>
      </c>
      <c r="P1" s="4">
        <f>I69</f>
        <v>33.96</v>
      </c>
      <c r="Q1" s="4">
        <f>J69</f>
        <v>14.98</v>
      </c>
      <c r="V1">
        <f>MAX(P1,Q1)</f>
        <v>33.96</v>
      </c>
      <c r="AF1" t="s">
        <v>75</v>
      </c>
    </row>
    <row r="2" spans="2:45" x14ac:dyDescent="0.3">
      <c r="B2">
        <v>33.299999999999997</v>
      </c>
      <c r="C2">
        <v>15.6</v>
      </c>
      <c r="D2">
        <v>6.1</v>
      </c>
      <c r="E2">
        <f>1.2+12.8+17</f>
        <v>31</v>
      </c>
      <c r="F2">
        <f>11.4-7.1</f>
        <v>4.3000000000000007</v>
      </c>
      <c r="G2">
        <f>0.16+23.7</f>
        <v>23.86</v>
      </c>
      <c r="H2">
        <f>19.1-6</f>
        <v>13.100000000000001</v>
      </c>
      <c r="I2">
        <v>31.7</v>
      </c>
      <c r="J2">
        <v>2.4</v>
      </c>
      <c r="K2">
        <f>27.92-22.58+12.2</f>
        <v>17.540000000000003</v>
      </c>
      <c r="O2" t="s">
        <v>69</v>
      </c>
      <c r="P2" s="4">
        <f t="shared" ref="P2:Q2" si="0">I70</f>
        <v>16.399999999999999</v>
      </c>
      <c r="Q2" s="4">
        <f t="shared" si="0"/>
        <v>28.5</v>
      </c>
      <c r="R2">
        <f t="shared" ref="R2:R4" si="1">K70</f>
        <v>13</v>
      </c>
      <c r="S2">
        <f t="shared" ref="S2:S4" si="2">L70</f>
        <v>0</v>
      </c>
      <c r="T2">
        <f t="shared" ref="T2:T4" si="3">M70</f>
        <v>0</v>
      </c>
      <c r="U2">
        <f t="shared" ref="U2:U4" si="4">N70</f>
        <v>0</v>
      </c>
      <c r="V2">
        <f>AG2</f>
        <v>28.5</v>
      </c>
      <c r="W2">
        <f>AH2</f>
        <v>16.399999999999999</v>
      </c>
      <c r="AF2" t="s">
        <v>69</v>
      </c>
      <c r="AG2" cm="1">
        <f t="array" ref="AG2:AL2">_xlfn._xlws.SORT(P2:U2, 1,-1, TRUE)</f>
        <v>28.5</v>
      </c>
      <c r="AH2">
        <v>16.399999999999999</v>
      </c>
      <c r="AI2">
        <v>13</v>
      </c>
      <c r="AJ2">
        <v>0</v>
      </c>
      <c r="AK2">
        <v>0</v>
      </c>
      <c r="AL2">
        <v>0</v>
      </c>
    </row>
    <row r="3" spans="2:45" x14ac:dyDescent="0.3">
      <c r="B3">
        <v>17.099999999999994</v>
      </c>
      <c r="C3">
        <v>17.499999999999996</v>
      </c>
      <c r="D3">
        <v>35.660000000000004</v>
      </c>
      <c r="E3">
        <v>10.199999999999999</v>
      </c>
      <c r="F3">
        <v>24.4</v>
      </c>
      <c r="G3">
        <v>6.1</v>
      </c>
      <c r="H3">
        <v>11.9</v>
      </c>
      <c r="I3">
        <v>39.399999999999991</v>
      </c>
      <c r="J3">
        <v>12.4</v>
      </c>
      <c r="K3">
        <v>2.1</v>
      </c>
      <c r="O3" t="s">
        <v>70</v>
      </c>
      <c r="P3" s="4">
        <f t="shared" ref="P3:Q3" si="5">I71</f>
        <v>13.9</v>
      </c>
      <c r="Q3" s="4">
        <f t="shared" si="5"/>
        <v>7</v>
      </c>
      <c r="R3">
        <f t="shared" si="1"/>
        <v>13.9</v>
      </c>
      <c r="S3">
        <f t="shared" si="2"/>
        <v>8.4</v>
      </c>
      <c r="T3">
        <f t="shared" si="3"/>
        <v>7.1</v>
      </c>
      <c r="U3">
        <f t="shared" si="4"/>
        <v>5.5</v>
      </c>
      <c r="V3">
        <f t="shared" ref="V3:V4" si="6">AG3</f>
        <v>13.9</v>
      </c>
      <c r="W3">
        <f t="shared" ref="W3" si="7">AH3</f>
        <v>13.9</v>
      </c>
      <c r="AF3" t="s">
        <v>70</v>
      </c>
      <c r="AG3" cm="1">
        <f t="array" ref="AG3:AL3">_xlfn._xlws.SORT(P3:U3, 1,-1, TRUE)</f>
        <v>13.9</v>
      </c>
      <c r="AH3">
        <v>13.9</v>
      </c>
      <c r="AI3">
        <v>8.4</v>
      </c>
      <c r="AJ3">
        <v>7.1</v>
      </c>
      <c r="AK3">
        <v>7</v>
      </c>
      <c r="AL3">
        <v>5.5</v>
      </c>
    </row>
    <row r="4" spans="2:45" x14ac:dyDescent="0.3">
      <c r="O4" t="s">
        <v>71</v>
      </c>
      <c r="P4" s="4">
        <f t="shared" ref="P4:Q4" si="8">I72</f>
        <v>8.1</v>
      </c>
      <c r="Q4">
        <f t="shared" si="8"/>
        <v>0</v>
      </c>
      <c r="R4">
        <f t="shared" si="1"/>
        <v>0</v>
      </c>
      <c r="S4">
        <f t="shared" si="2"/>
        <v>0</v>
      </c>
      <c r="T4">
        <f t="shared" si="3"/>
        <v>0</v>
      </c>
      <c r="U4">
        <f t="shared" si="4"/>
        <v>0</v>
      </c>
      <c r="V4">
        <f t="shared" si="6"/>
        <v>8.1</v>
      </c>
      <c r="AA4">
        <v>13</v>
      </c>
      <c r="AB4">
        <v>17.399999999999999</v>
      </c>
      <c r="AF4" t="s">
        <v>71</v>
      </c>
      <c r="AG4" cm="1">
        <f t="array" ref="AG4:AL4">_xlfn._xlws.SORT(P4:U4, 1,-1, TRUE)</f>
        <v>8.1</v>
      </c>
      <c r="AH4">
        <v>0</v>
      </c>
      <c r="AI4">
        <v>0</v>
      </c>
      <c r="AJ4">
        <v>0</v>
      </c>
      <c r="AK4">
        <v>0</v>
      </c>
      <c r="AL4">
        <v>0</v>
      </c>
    </row>
    <row r="5" spans="2:45" x14ac:dyDescent="0.3">
      <c r="O5" t="s">
        <v>72</v>
      </c>
      <c r="P5" s="4">
        <f t="shared" ref="P5:Q5" si="9">I73</f>
        <v>13</v>
      </c>
      <c r="Q5">
        <f t="shared" si="9"/>
        <v>0</v>
      </c>
      <c r="V5">
        <f>AG6</f>
        <v>13</v>
      </c>
      <c r="AA5">
        <v>4.4000000000000004</v>
      </c>
      <c r="AB5">
        <v>14.4</v>
      </c>
      <c r="AF5" t="s">
        <v>76</v>
      </c>
      <c r="AG5">
        <f>AI2</f>
        <v>13</v>
      </c>
      <c r="AH5">
        <f t="shared" ref="AH5:AJ5" si="10">AJ2</f>
        <v>0</v>
      </c>
      <c r="AI5">
        <f t="shared" si="10"/>
        <v>0</v>
      </c>
      <c r="AJ5">
        <f t="shared" si="10"/>
        <v>0</v>
      </c>
      <c r="AK5">
        <f>AI3</f>
        <v>8.4</v>
      </c>
      <c r="AL5">
        <f t="shared" ref="AL5:AN5" si="11">AJ3</f>
        <v>7.1</v>
      </c>
      <c r="AM5">
        <f t="shared" si="11"/>
        <v>7</v>
      </c>
      <c r="AN5">
        <f t="shared" si="11"/>
        <v>5.5</v>
      </c>
      <c r="AO5">
        <f>AH4</f>
        <v>0</v>
      </c>
      <c r="AP5">
        <f t="shared" ref="AP5:AS5" si="12">AI4</f>
        <v>0</v>
      </c>
      <c r="AQ5">
        <f t="shared" si="12"/>
        <v>0</v>
      </c>
      <c r="AR5">
        <f t="shared" si="12"/>
        <v>0</v>
      </c>
      <c r="AS5">
        <f t="shared" si="12"/>
        <v>0</v>
      </c>
    </row>
    <row r="6" spans="2:45" x14ac:dyDescent="0.3">
      <c r="O6" t="s">
        <v>73</v>
      </c>
      <c r="P6" s="4">
        <f t="shared" ref="P6:Q6" si="13">I74</f>
        <v>-5</v>
      </c>
      <c r="Q6">
        <f t="shared" si="13"/>
        <v>0</v>
      </c>
      <c r="V6">
        <f>MAX(P6,Q6)</f>
        <v>0</v>
      </c>
      <c r="AA6">
        <v>3</v>
      </c>
      <c r="AB6">
        <v>13</v>
      </c>
      <c r="AF6" t="s">
        <v>76</v>
      </c>
      <c r="AG6" cm="1">
        <f t="array" ref="AG6:AS6">_xlfn._xlws.SORT(AG5:AS5, 1,-1, TRUE)</f>
        <v>13</v>
      </c>
      <c r="AH6">
        <v>8.4</v>
      </c>
      <c r="AI6">
        <v>7.1</v>
      </c>
      <c r="AJ6">
        <v>7</v>
      </c>
      <c r="AK6">
        <v>5.5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2:45" x14ac:dyDescent="0.3">
      <c r="O7" t="s">
        <v>74</v>
      </c>
      <c r="P7" s="4">
        <f t="shared" ref="P7:Q7" si="14">I75</f>
        <v>6</v>
      </c>
      <c r="Q7">
        <f t="shared" si="14"/>
        <v>0</v>
      </c>
      <c r="V7">
        <f>MAX(P7,Q7)</f>
        <v>6</v>
      </c>
      <c r="AA7">
        <v>0</v>
      </c>
      <c r="AB7">
        <v>0</v>
      </c>
    </row>
    <row r="8" spans="2:45" x14ac:dyDescent="0.3">
      <c r="AA8">
        <v>0</v>
      </c>
      <c r="AB8">
        <v>0</v>
      </c>
    </row>
    <row r="10" spans="2:45" x14ac:dyDescent="0.3">
      <c r="P10">
        <f>SUM(P1:P7)+SUM(Q2:Q3)</f>
        <v>121.86</v>
      </c>
      <c r="V10">
        <f>SUM(V1:V7)+SUM(W2:W3)</f>
        <v>133.76</v>
      </c>
      <c r="X10" s="5">
        <f>V10-P10</f>
        <v>11.899999999999991</v>
      </c>
    </row>
    <row r="11" spans="2:45" x14ac:dyDescent="0.3">
      <c r="AA11">
        <f>SUM(AA4:AA8)</f>
        <v>20.399999999999999</v>
      </c>
      <c r="AB11">
        <f>SUM(AB4:AB8)</f>
        <v>44.8</v>
      </c>
      <c r="AD11">
        <f>AB11-AA11</f>
        <v>24.4</v>
      </c>
    </row>
    <row r="12" spans="2:45" x14ac:dyDescent="0.3">
      <c r="Q12">
        <f>13.9-7</f>
        <v>6.9</v>
      </c>
    </row>
    <row r="16" spans="2:45" x14ac:dyDescent="0.3">
      <c r="O16" t="s">
        <v>2</v>
      </c>
      <c r="P16" t="s">
        <v>27</v>
      </c>
      <c r="Q16" t="s">
        <v>28</v>
      </c>
      <c r="R16" t="s">
        <v>1</v>
      </c>
      <c r="S16" t="s">
        <v>30</v>
      </c>
      <c r="T16" t="s">
        <v>31</v>
      </c>
      <c r="U16" t="s">
        <v>32</v>
      </c>
      <c r="V16" t="s">
        <v>33</v>
      </c>
      <c r="W16" t="s">
        <v>34</v>
      </c>
      <c r="X16" t="s">
        <v>35</v>
      </c>
    </row>
    <row r="17" spans="1:24" x14ac:dyDescent="0.3">
      <c r="A17" t="s">
        <v>29</v>
      </c>
      <c r="B17">
        <f>SUM(B2:B15)</f>
        <v>50.399999999999991</v>
      </c>
      <c r="C17">
        <f t="shared" ref="C17:K17" si="15">SUM(C2:C15)</f>
        <v>33.099999999999994</v>
      </c>
      <c r="D17">
        <f t="shared" si="15"/>
        <v>41.760000000000005</v>
      </c>
      <c r="E17">
        <f t="shared" si="15"/>
        <v>41.2</v>
      </c>
      <c r="F17">
        <f t="shared" si="15"/>
        <v>28.7</v>
      </c>
      <c r="G17">
        <f t="shared" si="15"/>
        <v>29.96</v>
      </c>
      <c r="H17">
        <f t="shared" si="15"/>
        <v>25</v>
      </c>
      <c r="I17">
        <f t="shared" si="15"/>
        <v>71.099999999999994</v>
      </c>
      <c r="J17">
        <f t="shared" si="15"/>
        <v>14.8</v>
      </c>
      <c r="K17">
        <f t="shared" si="15"/>
        <v>19.640000000000004</v>
      </c>
      <c r="O17">
        <v>207.2</v>
      </c>
      <c r="P17">
        <v>235.64</v>
      </c>
      <c r="Q17">
        <v>150.70000000000005</v>
      </c>
      <c r="R17">
        <v>319.72000000000003</v>
      </c>
      <c r="S17">
        <v>250.74</v>
      </c>
      <c r="T17">
        <v>162.30000000000001</v>
      </c>
      <c r="U17">
        <v>203.7</v>
      </c>
      <c r="V17">
        <v>239.8</v>
      </c>
      <c r="W17">
        <v>374.2</v>
      </c>
      <c r="X17">
        <v>303.91999999999996</v>
      </c>
    </row>
    <row r="28" spans="1:24" x14ac:dyDescent="0.3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</row>
    <row r="29" spans="1:24" x14ac:dyDescent="0.3">
      <c r="A29" s="2" t="s">
        <v>68</v>
      </c>
      <c r="B29" t="s">
        <v>100</v>
      </c>
      <c r="C29" t="s">
        <v>103</v>
      </c>
      <c r="D29" t="s">
        <v>104</v>
      </c>
      <c r="E29">
        <v>15.3</v>
      </c>
      <c r="F29">
        <v>33.96</v>
      </c>
      <c r="J29" s="5">
        <f>X10</f>
        <v>11.899999999999991</v>
      </c>
    </row>
    <row r="30" spans="1:24" x14ac:dyDescent="0.3">
      <c r="B30" t="s">
        <v>101</v>
      </c>
    </row>
    <row r="31" spans="1:24" x14ac:dyDescent="0.3">
      <c r="B31" t="s">
        <v>102</v>
      </c>
    </row>
    <row r="32" spans="1:24" x14ac:dyDescent="0.3">
      <c r="A32" t="s">
        <v>69</v>
      </c>
      <c r="B32" t="s">
        <v>105</v>
      </c>
      <c r="C32" t="s">
        <v>91</v>
      </c>
      <c r="D32" t="s">
        <v>92</v>
      </c>
      <c r="E32">
        <v>16.899999999999999</v>
      </c>
      <c r="F32">
        <v>16.399999999999999</v>
      </c>
    </row>
    <row r="33" spans="1:7" x14ac:dyDescent="0.3">
      <c r="B33" t="s">
        <v>106</v>
      </c>
    </row>
    <row r="34" spans="1:7" x14ac:dyDescent="0.3">
      <c r="B34" t="s">
        <v>107</v>
      </c>
    </row>
    <row r="35" spans="1:7" x14ac:dyDescent="0.3">
      <c r="A35" t="s">
        <v>69</v>
      </c>
      <c r="B35" t="s">
        <v>108</v>
      </c>
      <c r="C35" t="s">
        <v>110</v>
      </c>
      <c r="D35" t="s">
        <v>111</v>
      </c>
      <c r="E35">
        <v>14.6</v>
      </c>
      <c r="F35">
        <v>28.5</v>
      </c>
    </row>
    <row r="36" spans="1:7" x14ac:dyDescent="0.3">
      <c r="B36" t="s">
        <v>77</v>
      </c>
    </row>
    <row r="37" spans="1:7" x14ac:dyDescent="0.3">
      <c r="B37" t="s">
        <v>109</v>
      </c>
    </row>
    <row r="38" spans="1:7" x14ac:dyDescent="0.3">
      <c r="A38" t="s">
        <v>70</v>
      </c>
      <c r="B38" t="s">
        <v>112</v>
      </c>
      <c r="C38" t="s">
        <v>114</v>
      </c>
      <c r="D38" t="s">
        <v>115</v>
      </c>
      <c r="E38">
        <v>11.6</v>
      </c>
      <c r="F38">
        <v>13.9</v>
      </c>
    </row>
    <row r="39" spans="1:7" x14ac:dyDescent="0.3">
      <c r="B39" t="s">
        <v>78</v>
      </c>
    </row>
    <row r="40" spans="1:7" x14ac:dyDescent="0.3">
      <c r="B40" t="s">
        <v>113</v>
      </c>
    </row>
    <row r="41" spans="1:7" x14ac:dyDescent="0.3">
      <c r="A41" t="s">
        <v>70</v>
      </c>
      <c r="B41" t="s">
        <v>116</v>
      </c>
      <c r="C41" t="s">
        <v>119</v>
      </c>
      <c r="D41" t="s">
        <v>120</v>
      </c>
      <c r="E41">
        <v>12.4</v>
      </c>
      <c r="F41">
        <v>7</v>
      </c>
    </row>
    <row r="42" spans="1:7" x14ac:dyDescent="0.3">
      <c r="B42" t="s">
        <v>117</v>
      </c>
    </row>
    <row r="43" spans="1:7" x14ac:dyDescent="0.3">
      <c r="B43" t="s">
        <v>118</v>
      </c>
    </row>
    <row r="44" spans="1:7" x14ac:dyDescent="0.3">
      <c r="A44" t="s">
        <v>71</v>
      </c>
      <c r="B44" t="s">
        <v>121</v>
      </c>
      <c r="C44" t="s">
        <v>96</v>
      </c>
      <c r="D44" t="s">
        <v>97</v>
      </c>
      <c r="E44">
        <v>9.8000000000000007</v>
      </c>
      <c r="F44">
        <v>8.1</v>
      </c>
    </row>
    <row r="45" spans="1:7" x14ac:dyDescent="0.3">
      <c r="B45" t="s">
        <v>122</v>
      </c>
    </row>
    <row r="46" spans="1:7" x14ac:dyDescent="0.3">
      <c r="B46" t="s">
        <v>123</v>
      </c>
    </row>
    <row r="47" spans="1:7" x14ac:dyDescent="0.3">
      <c r="A47" t="s">
        <v>72</v>
      </c>
      <c r="B47" t="s">
        <v>124</v>
      </c>
      <c r="C47" t="s">
        <v>127</v>
      </c>
      <c r="D47" t="s">
        <v>128</v>
      </c>
      <c r="E47">
        <v>13</v>
      </c>
      <c r="F47">
        <v>13</v>
      </c>
      <c r="G47" t="str">
        <f>RIGHT(B49, 2)</f>
        <v>RB</v>
      </c>
    </row>
    <row r="48" spans="1:7" x14ac:dyDescent="0.3">
      <c r="B48" t="s">
        <v>125</v>
      </c>
    </row>
    <row r="49" spans="1:7" x14ac:dyDescent="0.3">
      <c r="B49" t="s">
        <v>126</v>
      </c>
    </row>
    <row r="50" spans="1:7" x14ac:dyDescent="0.3">
      <c r="A50" t="s">
        <v>79</v>
      </c>
      <c r="B50" t="s">
        <v>129</v>
      </c>
      <c r="C50" t="s">
        <v>93</v>
      </c>
      <c r="D50" t="s">
        <v>94</v>
      </c>
      <c r="E50">
        <v>7.5</v>
      </c>
      <c r="F50">
        <v>-5</v>
      </c>
    </row>
    <row r="51" spans="1:7" x14ac:dyDescent="0.3">
      <c r="B51" t="s">
        <v>130</v>
      </c>
    </row>
    <row r="52" spans="1:7" x14ac:dyDescent="0.3">
      <c r="B52" t="s">
        <v>131</v>
      </c>
    </row>
    <row r="53" spans="1:7" x14ac:dyDescent="0.3">
      <c r="A53" t="s">
        <v>74</v>
      </c>
      <c r="B53" t="s">
        <v>132</v>
      </c>
      <c r="C53" t="s">
        <v>96</v>
      </c>
      <c r="D53" t="s">
        <v>97</v>
      </c>
      <c r="E53">
        <v>8.3000000000000007</v>
      </c>
      <c r="F53">
        <v>6</v>
      </c>
    </row>
    <row r="54" spans="1:7" x14ac:dyDescent="0.3">
      <c r="B54" t="s">
        <v>133</v>
      </c>
    </row>
    <row r="55" spans="1:7" x14ac:dyDescent="0.3">
      <c r="B55" t="s">
        <v>134</v>
      </c>
    </row>
    <row r="56" spans="1:7" x14ac:dyDescent="0.3">
      <c r="C56" t="s">
        <v>80</v>
      </c>
      <c r="E56">
        <v>109.3</v>
      </c>
      <c r="F56">
        <v>121.86</v>
      </c>
    </row>
    <row r="57" spans="1:7" x14ac:dyDescent="0.3">
      <c r="A57" t="s">
        <v>81</v>
      </c>
      <c r="B57" t="s">
        <v>135</v>
      </c>
      <c r="C57" t="s">
        <v>98</v>
      </c>
      <c r="D57" t="s">
        <v>99</v>
      </c>
      <c r="E57">
        <v>11.4</v>
      </c>
      <c r="F57">
        <v>7.1</v>
      </c>
      <c r="G57" t="str">
        <f>RIGHT(B59, 2)</f>
        <v>WR</v>
      </c>
    </row>
    <row r="58" spans="1:7" x14ac:dyDescent="0.3">
      <c r="B58" t="s">
        <v>136</v>
      </c>
    </row>
    <row r="59" spans="1:7" x14ac:dyDescent="0.3">
      <c r="B59" t="s">
        <v>137</v>
      </c>
    </row>
    <row r="60" spans="1:7" x14ac:dyDescent="0.3">
      <c r="A60" t="s">
        <v>81</v>
      </c>
      <c r="B60" t="s">
        <v>138</v>
      </c>
      <c r="C60" t="s">
        <v>127</v>
      </c>
      <c r="D60" t="s">
        <v>128</v>
      </c>
      <c r="E60">
        <v>10.1</v>
      </c>
      <c r="F60">
        <v>8.4</v>
      </c>
      <c r="G60" t="str">
        <f>RIGHT(B62, 2)</f>
        <v>WR</v>
      </c>
    </row>
    <row r="61" spans="1:7" x14ac:dyDescent="0.3">
      <c r="B61" t="s">
        <v>139</v>
      </c>
    </row>
    <row r="62" spans="1:7" x14ac:dyDescent="0.3">
      <c r="B62" t="s">
        <v>140</v>
      </c>
    </row>
    <row r="63" spans="1:7" x14ac:dyDescent="0.3">
      <c r="A63" t="s">
        <v>81</v>
      </c>
      <c r="B63" t="s">
        <v>141</v>
      </c>
      <c r="C63" t="s">
        <v>143</v>
      </c>
      <c r="D63" t="s">
        <v>144</v>
      </c>
      <c r="E63">
        <v>8.1</v>
      </c>
      <c r="F63">
        <v>5.2</v>
      </c>
      <c r="G63" t="str">
        <f>RIGHT(B65, 2)</f>
        <v>WR</v>
      </c>
    </row>
    <row r="64" spans="1:7" x14ac:dyDescent="0.3">
      <c r="B64" t="s">
        <v>142</v>
      </c>
    </row>
    <row r="65" spans="1:29" x14ac:dyDescent="0.3">
      <c r="B65" t="s">
        <v>83</v>
      </c>
    </row>
    <row r="66" spans="1:29" x14ac:dyDescent="0.3">
      <c r="A66" t="s">
        <v>81</v>
      </c>
      <c r="B66" t="s">
        <v>145</v>
      </c>
      <c r="C66" t="s">
        <v>148</v>
      </c>
      <c r="D66" t="s">
        <v>149</v>
      </c>
      <c r="E66">
        <v>11.1</v>
      </c>
      <c r="F66">
        <v>13.9</v>
      </c>
      <c r="G66" t="str">
        <f>RIGHT(B68, 2)</f>
        <v>WR</v>
      </c>
    </row>
    <row r="67" spans="1:29" x14ac:dyDescent="0.3">
      <c r="B67" t="s">
        <v>146</v>
      </c>
    </row>
    <row r="68" spans="1:29" x14ac:dyDescent="0.3">
      <c r="B68" t="s">
        <v>147</v>
      </c>
    </row>
    <row r="69" spans="1:29" x14ac:dyDescent="0.3">
      <c r="A69" t="s">
        <v>81</v>
      </c>
      <c r="B69" t="s">
        <v>150</v>
      </c>
      <c r="C69" t="s">
        <v>82</v>
      </c>
      <c r="D69" t="s">
        <v>95</v>
      </c>
      <c r="E69">
        <v>0</v>
      </c>
      <c r="F69">
        <v>0</v>
      </c>
      <c r="G69" t="str">
        <f>RIGHT(B71, 2)</f>
        <v>WR</v>
      </c>
      <c r="H69" t="s">
        <v>68</v>
      </c>
      <c r="I69" s="4">
        <f>F29</f>
        <v>33.96</v>
      </c>
      <c r="J69" cm="1">
        <f t="array" ref="J69:AB69">TRANSPOSE(_xlfn._xlws.SORT(A80:A98, 1,-1 ))</f>
        <v>14.98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9" x14ac:dyDescent="0.3">
      <c r="B70" t="s">
        <v>151</v>
      </c>
      <c r="H70" t="s">
        <v>69</v>
      </c>
      <c r="I70" s="4">
        <f>F32</f>
        <v>16.399999999999999</v>
      </c>
      <c r="J70" s="4">
        <f>F35</f>
        <v>28.5</v>
      </c>
      <c r="K70" cm="1">
        <f t="array" ref="K70:AC70">TRANSPOSE(_xlfn._xlws.SORT(B80:B98, 1,-1 ))</f>
        <v>13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3">
      <c r="B71" t="s">
        <v>152</v>
      </c>
      <c r="H71" t="s">
        <v>70</v>
      </c>
      <c r="I71" s="4">
        <f>F38</f>
        <v>13.9</v>
      </c>
      <c r="J71" s="4">
        <f>F41</f>
        <v>7</v>
      </c>
      <c r="K71" cm="1">
        <f t="array" ref="K71:AC71">TRANSPOSE(_xlfn._xlws.SORT(C80:C98, 1,-1 ))</f>
        <v>13.9</v>
      </c>
      <c r="L71">
        <v>8.4</v>
      </c>
      <c r="M71">
        <v>7.1</v>
      </c>
      <c r="N71">
        <v>5.5</v>
      </c>
      <c r="O71">
        <v>5.2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 t="s">
        <v>81</v>
      </c>
      <c r="B72" t="s">
        <v>153</v>
      </c>
      <c r="C72" t="s">
        <v>156</v>
      </c>
      <c r="D72" t="s">
        <v>157</v>
      </c>
      <c r="E72">
        <v>16.899999999999999</v>
      </c>
      <c r="F72">
        <v>14.98</v>
      </c>
      <c r="G72" t="str">
        <f>RIGHT(B74, 2)</f>
        <v>QB</v>
      </c>
      <c r="H72" t="s">
        <v>71</v>
      </c>
      <c r="I72" s="4">
        <f>F44</f>
        <v>8.1</v>
      </c>
      <c r="J72" cm="1">
        <f t="array" ref="J72:AB72">TRANSPOSE(_xlfn._xlws.SORT(D80:D98, 1,-1 ))</f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9" x14ac:dyDescent="0.3">
      <c r="B73" t="s">
        <v>154</v>
      </c>
      <c r="H73" t="s">
        <v>72</v>
      </c>
      <c r="I73" s="4">
        <f>F47</f>
        <v>13</v>
      </c>
    </row>
    <row r="74" spans="1:29" x14ac:dyDescent="0.3">
      <c r="B74" t="s">
        <v>155</v>
      </c>
      <c r="H74" t="s">
        <v>73</v>
      </c>
      <c r="I74" s="4">
        <f>F50</f>
        <v>-5</v>
      </c>
      <c r="J74" cm="1">
        <f t="array" ref="J74:AB74">TRANSPOSE(_xlfn._xlws.SORT(E80:E98, 1,-1 ))</f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9" x14ac:dyDescent="0.3">
      <c r="A75" t="s">
        <v>81</v>
      </c>
      <c r="B75" t="s">
        <v>158</v>
      </c>
      <c r="C75" t="s">
        <v>96</v>
      </c>
      <c r="D75" t="s">
        <v>97</v>
      </c>
      <c r="E75">
        <v>10.8</v>
      </c>
      <c r="F75">
        <v>5.5</v>
      </c>
      <c r="G75" t="str">
        <f>RIGHT(B77, 2)</f>
        <v>WR</v>
      </c>
      <c r="H75" t="s">
        <v>74</v>
      </c>
      <c r="I75" s="4">
        <f>F53</f>
        <v>6</v>
      </c>
      <c r="J75" cm="1">
        <f t="array" ref="J75:AB75">TRANSPOSE(_xlfn._xlws.SORT(F80:F98, 1,-1 ))</f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9" x14ac:dyDescent="0.3">
      <c r="B76" t="s">
        <v>159</v>
      </c>
    </row>
    <row r="77" spans="1:29" x14ac:dyDescent="0.3">
      <c r="B77" t="s">
        <v>160</v>
      </c>
    </row>
    <row r="79" spans="1:29" x14ac:dyDescent="0.3">
      <c r="A79" t="s">
        <v>68</v>
      </c>
      <c r="B79" t="s">
        <v>69</v>
      </c>
      <c r="C79" t="s">
        <v>70</v>
      </c>
      <c r="D79" t="s">
        <v>71</v>
      </c>
      <c r="E79" t="s">
        <v>90</v>
      </c>
      <c r="F79" t="s">
        <v>74</v>
      </c>
    </row>
    <row r="80" spans="1:29" x14ac:dyDescent="0.3">
      <c r="A80">
        <f>IF($G57=A$79,$F57,0)</f>
        <v>0</v>
      </c>
      <c r="B80">
        <f t="shared" ref="B80:E80" si="16">IF($G57=B$79,$F57,0)</f>
        <v>0</v>
      </c>
      <c r="C80">
        <f t="shared" si="16"/>
        <v>7.1</v>
      </c>
      <c r="D80">
        <f t="shared" si="16"/>
        <v>0</v>
      </c>
      <c r="E80">
        <f t="shared" si="16"/>
        <v>0</v>
      </c>
      <c r="F80">
        <f>IF(RIGHT($G57,1)=F$79,$F57,0)</f>
        <v>0</v>
      </c>
    </row>
    <row r="81" spans="1:6" x14ac:dyDescent="0.3">
      <c r="A81">
        <f t="shared" ref="A81:E98" si="17">IF($G58=A$79,$F58,0)</f>
        <v>0</v>
      </c>
      <c r="B81">
        <f>IF($G47=B$79,$F47,0)</f>
        <v>13</v>
      </c>
      <c r="C81">
        <f>IF($G47=C$79,$F47,0)</f>
        <v>0</v>
      </c>
      <c r="D81">
        <f>IF($G47=D$79,$F47,0)</f>
        <v>0</v>
      </c>
      <c r="E81">
        <f t="shared" si="17"/>
        <v>0</v>
      </c>
      <c r="F81">
        <f t="shared" ref="F81:F98" si="18">IF(RIGHT($G58,1)=F$79,$F58,0)</f>
        <v>0</v>
      </c>
    </row>
    <row r="82" spans="1:6" x14ac:dyDescent="0.3">
      <c r="A82">
        <f t="shared" si="17"/>
        <v>0</v>
      </c>
      <c r="B82">
        <f t="shared" si="17"/>
        <v>0</v>
      </c>
      <c r="C82">
        <f t="shared" si="17"/>
        <v>0</v>
      </c>
      <c r="D82">
        <f t="shared" si="17"/>
        <v>0</v>
      </c>
      <c r="E82">
        <f t="shared" si="17"/>
        <v>0</v>
      </c>
      <c r="F82">
        <f t="shared" si="18"/>
        <v>0</v>
      </c>
    </row>
    <row r="83" spans="1:6" x14ac:dyDescent="0.3">
      <c r="A83">
        <f t="shared" si="17"/>
        <v>0</v>
      </c>
      <c r="B83">
        <f t="shared" si="17"/>
        <v>0</v>
      </c>
      <c r="C83">
        <f t="shared" si="17"/>
        <v>8.4</v>
      </c>
      <c r="D83">
        <f t="shared" si="17"/>
        <v>0</v>
      </c>
      <c r="E83">
        <f t="shared" si="17"/>
        <v>0</v>
      </c>
      <c r="F83">
        <f t="shared" si="18"/>
        <v>0</v>
      </c>
    </row>
    <row r="84" spans="1:6" x14ac:dyDescent="0.3">
      <c r="A84">
        <f t="shared" si="17"/>
        <v>0</v>
      </c>
      <c r="B84">
        <f t="shared" si="17"/>
        <v>0</v>
      </c>
      <c r="C84">
        <f t="shared" si="17"/>
        <v>0</v>
      </c>
      <c r="D84">
        <f t="shared" si="17"/>
        <v>0</v>
      </c>
      <c r="E84">
        <f t="shared" si="17"/>
        <v>0</v>
      </c>
      <c r="F84">
        <f t="shared" si="18"/>
        <v>0</v>
      </c>
    </row>
    <row r="85" spans="1:6" x14ac:dyDescent="0.3">
      <c r="A85">
        <f t="shared" si="17"/>
        <v>0</v>
      </c>
      <c r="B85">
        <f t="shared" si="17"/>
        <v>0</v>
      </c>
      <c r="C85">
        <f t="shared" si="17"/>
        <v>0</v>
      </c>
      <c r="D85">
        <f t="shared" si="17"/>
        <v>0</v>
      </c>
      <c r="E85">
        <f t="shared" si="17"/>
        <v>0</v>
      </c>
      <c r="F85">
        <f t="shared" si="18"/>
        <v>0</v>
      </c>
    </row>
    <row r="86" spans="1:6" x14ac:dyDescent="0.3">
      <c r="A86">
        <f t="shared" si="17"/>
        <v>0</v>
      </c>
      <c r="B86">
        <f t="shared" si="17"/>
        <v>0</v>
      </c>
      <c r="C86">
        <f t="shared" si="17"/>
        <v>5.2</v>
      </c>
      <c r="D86">
        <f t="shared" si="17"/>
        <v>0</v>
      </c>
      <c r="E86">
        <f t="shared" si="17"/>
        <v>0</v>
      </c>
      <c r="F86">
        <f t="shared" si="18"/>
        <v>0</v>
      </c>
    </row>
    <row r="87" spans="1:6" x14ac:dyDescent="0.3">
      <c r="A87">
        <f t="shared" si="17"/>
        <v>0</v>
      </c>
      <c r="B87">
        <f t="shared" si="17"/>
        <v>0</v>
      </c>
      <c r="C87">
        <f t="shared" si="17"/>
        <v>0</v>
      </c>
      <c r="D87">
        <f t="shared" si="17"/>
        <v>0</v>
      </c>
      <c r="E87">
        <f t="shared" si="17"/>
        <v>0</v>
      </c>
      <c r="F87">
        <f t="shared" si="18"/>
        <v>0</v>
      </c>
    </row>
    <row r="88" spans="1:6" x14ac:dyDescent="0.3">
      <c r="A88">
        <f t="shared" si="17"/>
        <v>0</v>
      </c>
      <c r="B88">
        <f t="shared" si="17"/>
        <v>0</v>
      </c>
      <c r="C88">
        <f t="shared" si="17"/>
        <v>0</v>
      </c>
      <c r="D88">
        <f t="shared" si="17"/>
        <v>0</v>
      </c>
      <c r="E88">
        <f t="shared" si="17"/>
        <v>0</v>
      </c>
      <c r="F88">
        <f t="shared" si="18"/>
        <v>0</v>
      </c>
    </row>
    <row r="89" spans="1:6" x14ac:dyDescent="0.3">
      <c r="A89">
        <f t="shared" si="17"/>
        <v>0</v>
      </c>
      <c r="B89">
        <f t="shared" si="17"/>
        <v>0</v>
      </c>
      <c r="C89">
        <f t="shared" si="17"/>
        <v>13.9</v>
      </c>
      <c r="D89">
        <f t="shared" si="17"/>
        <v>0</v>
      </c>
      <c r="E89">
        <f t="shared" si="17"/>
        <v>0</v>
      </c>
      <c r="F89">
        <f t="shared" si="18"/>
        <v>0</v>
      </c>
    </row>
    <row r="90" spans="1:6" x14ac:dyDescent="0.3">
      <c r="A90">
        <f t="shared" si="17"/>
        <v>0</v>
      </c>
      <c r="B90">
        <f t="shared" si="17"/>
        <v>0</v>
      </c>
      <c r="C90">
        <f t="shared" si="17"/>
        <v>0</v>
      </c>
      <c r="D90">
        <f t="shared" si="17"/>
        <v>0</v>
      </c>
      <c r="E90">
        <f t="shared" si="17"/>
        <v>0</v>
      </c>
      <c r="F90">
        <f t="shared" si="18"/>
        <v>0</v>
      </c>
    </row>
    <row r="91" spans="1:6" x14ac:dyDescent="0.3">
      <c r="A91">
        <f t="shared" si="17"/>
        <v>0</v>
      </c>
      <c r="B91">
        <f t="shared" si="17"/>
        <v>0</v>
      </c>
      <c r="C91">
        <f t="shared" si="17"/>
        <v>0</v>
      </c>
      <c r="D91">
        <f t="shared" si="17"/>
        <v>0</v>
      </c>
      <c r="E91">
        <f t="shared" si="17"/>
        <v>0</v>
      </c>
      <c r="F91">
        <f t="shared" si="18"/>
        <v>0</v>
      </c>
    </row>
    <row r="92" spans="1:6" x14ac:dyDescent="0.3">
      <c r="A92">
        <f t="shared" si="17"/>
        <v>0</v>
      </c>
      <c r="B92">
        <f t="shared" si="17"/>
        <v>0</v>
      </c>
      <c r="C92">
        <f t="shared" si="17"/>
        <v>0</v>
      </c>
      <c r="D92">
        <f t="shared" si="17"/>
        <v>0</v>
      </c>
      <c r="E92">
        <f t="shared" si="17"/>
        <v>0</v>
      </c>
      <c r="F92">
        <f t="shared" si="18"/>
        <v>0</v>
      </c>
    </row>
    <row r="93" spans="1:6" x14ac:dyDescent="0.3">
      <c r="A93">
        <f t="shared" si="17"/>
        <v>0</v>
      </c>
      <c r="B93">
        <f t="shared" si="17"/>
        <v>0</v>
      </c>
      <c r="C93">
        <f t="shared" si="17"/>
        <v>0</v>
      </c>
      <c r="D93">
        <f t="shared" si="17"/>
        <v>0</v>
      </c>
      <c r="E93">
        <f t="shared" si="17"/>
        <v>0</v>
      </c>
      <c r="F93">
        <f t="shared" si="18"/>
        <v>0</v>
      </c>
    </row>
    <row r="94" spans="1:6" x14ac:dyDescent="0.3">
      <c r="A94">
        <f t="shared" si="17"/>
        <v>0</v>
      </c>
      <c r="B94">
        <f t="shared" si="17"/>
        <v>0</v>
      </c>
      <c r="C94">
        <f t="shared" si="17"/>
        <v>0</v>
      </c>
      <c r="D94">
        <f t="shared" si="17"/>
        <v>0</v>
      </c>
      <c r="E94">
        <f t="shared" si="17"/>
        <v>0</v>
      </c>
      <c r="F94">
        <f t="shared" si="18"/>
        <v>0</v>
      </c>
    </row>
    <row r="95" spans="1:6" x14ac:dyDescent="0.3">
      <c r="A95">
        <f t="shared" si="17"/>
        <v>14.98</v>
      </c>
      <c r="B95">
        <f t="shared" si="17"/>
        <v>0</v>
      </c>
      <c r="C95">
        <f t="shared" si="17"/>
        <v>0</v>
      </c>
      <c r="D95">
        <f t="shared" si="17"/>
        <v>0</v>
      </c>
      <c r="E95">
        <f t="shared" si="17"/>
        <v>0</v>
      </c>
      <c r="F95">
        <f t="shared" si="18"/>
        <v>0</v>
      </c>
    </row>
    <row r="96" spans="1:6" x14ac:dyDescent="0.3">
      <c r="A96">
        <f t="shared" si="17"/>
        <v>0</v>
      </c>
      <c r="B96">
        <f t="shared" si="17"/>
        <v>0</v>
      </c>
      <c r="C96">
        <f t="shared" si="17"/>
        <v>0</v>
      </c>
      <c r="D96">
        <f t="shared" si="17"/>
        <v>0</v>
      </c>
      <c r="E96">
        <f t="shared" si="17"/>
        <v>0</v>
      </c>
      <c r="F96">
        <f t="shared" si="18"/>
        <v>0</v>
      </c>
    </row>
    <row r="97" spans="1:6" x14ac:dyDescent="0.3">
      <c r="A97">
        <f t="shared" si="17"/>
        <v>0</v>
      </c>
      <c r="B97">
        <f t="shared" si="17"/>
        <v>0</v>
      </c>
      <c r="C97">
        <f t="shared" si="17"/>
        <v>0</v>
      </c>
      <c r="D97">
        <f t="shared" si="17"/>
        <v>0</v>
      </c>
      <c r="E97">
        <f t="shared" si="17"/>
        <v>0</v>
      </c>
      <c r="F97">
        <f t="shared" si="18"/>
        <v>0</v>
      </c>
    </row>
    <row r="98" spans="1:6" x14ac:dyDescent="0.3">
      <c r="A98">
        <f t="shared" si="17"/>
        <v>0</v>
      </c>
      <c r="B98">
        <f t="shared" si="17"/>
        <v>0</v>
      </c>
      <c r="C98">
        <f t="shared" si="17"/>
        <v>5.5</v>
      </c>
      <c r="D98">
        <f t="shared" si="17"/>
        <v>0</v>
      </c>
      <c r="E98">
        <f t="shared" si="17"/>
        <v>0</v>
      </c>
      <c r="F98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CEB2-75D6-4F38-A729-3B85DDB184BF}">
  <dimension ref="A1:CB172"/>
  <sheetViews>
    <sheetView workbookViewId="0">
      <selection activeCell="D73" sqref="D73"/>
    </sheetView>
  </sheetViews>
  <sheetFormatPr defaultRowHeight="14.4" x14ac:dyDescent="0.3"/>
  <sheetData>
    <row r="1" spans="1:71" x14ac:dyDescent="0.3">
      <c r="A1" t="s">
        <v>161</v>
      </c>
      <c r="B1" t="s">
        <v>68</v>
      </c>
      <c r="C1" t="s">
        <v>69</v>
      </c>
      <c r="D1" t="s">
        <v>70</v>
      </c>
      <c r="E1" t="s">
        <v>71</v>
      </c>
      <c r="F1" t="s">
        <v>74</v>
      </c>
      <c r="G1" t="s">
        <v>79</v>
      </c>
    </row>
    <row r="3" spans="1:71" x14ac:dyDescent="0.3">
      <c r="A3" t="s">
        <v>169</v>
      </c>
      <c r="C3">
        <f>SUM(P25:P128)</f>
        <v>121.86</v>
      </c>
    </row>
    <row r="5" spans="1:71" x14ac:dyDescent="0.3">
      <c r="A5" t="s">
        <v>189</v>
      </c>
      <c r="C5">
        <f>SUM(AT30:BC48) + BJ20</f>
        <v>133.76</v>
      </c>
    </row>
    <row r="7" spans="1:71" x14ac:dyDescent="0.3">
      <c r="A7" t="s">
        <v>36</v>
      </c>
      <c r="C7">
        <f xml:space="preserve"> C5- C3</f>
        <v>11.899999999999991</v>
      </c>
    </row>
    <row r="13" spans="1:71" x14ac:dyDescent="0.3">
      <c r="BQ13">
        <v>1</v>
      </c>
      <c r="BR13">
        <v>2</v>
      </c>
      <c r="BS13">
        <v>3</v>
      </c>
    </row>
    <row r="14" spans="1:71" x14ac:dyDescent="0.3">
      <c r="BQ14">
        <v>4</v>
      </c>
      <c r="BR14">
        <v>6</v>
      </c>
      <c r="BS14">
        <v>4</v>
      </c>
    </row>
    <row r="15" spans="1:71" x14ac:dyDescent="0.3">
      <c r="BQ15">
        <v>345</v>
      </c>
      <c r="BR15">
        <v>3</v>
      </c>
      <c r="BS15">
        <v>34</v>
      </c>
    </row>
    <row r="16" spans="1:71" x14ac:dyDescent="0.3">
      <c r="BQ16">
        <v>6</v>
      </c>
      <c r="BR16">
        <v>7</v>
      </c>
      <c r="BS16">
        <v>8</v>
      </c>
    </row>
    <row r="20" spans="1:80" x14ac:dyDescent="0.3">
      <c r="BG20" s="7" t="s">
        <v>72</v>
      </c>
      <c r="BI20" t="s">
        <v>188</v>
      </c>
      <c r="BJ20">
        <f>SUM(CB26:CB172)</f>
        <v>13</v>
      </c>
      <c r="BX20" t="s">
        <v>184</v>
      </c>
      <c r="BZ20">
        <f>COUNTIF(K25:K128, BG23)</f>
        <v>1</v>
      </c>
    </row>
    <row r="21" spans="1:80" x14ac:dyDescent="0.3">
      <c r="X21" t="s">
        <v>173</v>
      </c>
    </row>
    <row r="22" spans="1:80" x14ac:dyDescent="0.3">
      <c r="X22" t="s">
        <v>176</v>
      </c>
      <c r="Y22" t="s">
        <v>177</v>
      </c>
      <c r="Z22" t="s">
        <v>178</v>
      </c>
      <c r="AA22" t="s">
        <v>177</v>
      </c>
      <c r="AB22" t="s">
        <v>176</v>
      </c>
      <c r="AC22" t="s">
        <v>177</v>
      </c>
      <c r="AD22" t="s">
        <v>178</v>
      </c>
      <c r="AE22" t="s">
        <v>177</v>
      </c>
      <c r="AF22" t="s">
        <v>176</v>
      </c>
      <c r="AG22" t="s">
        <v>177</v>
      </c>
      <c r="AH22" t="s">
        <v>178</v>
      </c>
      <c r="AI22" t="s">
        <v>177</v>
      </c>
      <c r="AJ22" t="s">
        <v>176</v>
      </c>
      <c r="AK22" t="s">
        <v>177</v>
      </c>
      <c r="AL22" t="s">
        <v>178</v>
      </c>
      <c r="AM22" t="s">
        <v>177</v>
      </c>
      <c r="AN22" t="s">
        <v>176</v>
      </c>
      <c r="AO22" t="s">
        <v>177</v>
      </c>
      <c r="AP22" t="s">
        <v>178</v>
      </c>
      <c r="AQ22" t="s">
        <v>177</v>
      </c>
      <c r="BE22" t="s">
        <v>179</v>
      </c>
    </row>
    <row r="23" spans="1:80" x14ac:dyDescent="0.3">
      <c r="J23" t="s">
        <v>172</v>
      </c>
      <c r="R23" t="s">
        <v>171</v>
      </c>
      <c r="X23">
        <v>1</v>
      </c>
      <c r="Y23">
        <v>2</v>
      </c>
      <c r="Z23">
        <v>3</v>
      </c>
      <c r="AA23">
        <v>4</v>
      </c>
      <c r="AB23">
        <v>5</v>
      </c>
      <c r="AC23">
        <v>6</v>
      </c>
      <c r="AD23">
        <v>7</v>
      </c>
      <c r="AE23">
        <v>8</v>
      </c>
      <c r="AF23">
        <v>9</v>
      </c>
      <c r="AG23">
        <v>10</v>
      </c>
      <c r="AH23">
        <v>11</v>
      </c>
      <c r="AI23">
        <v>12</v>
      </c>
      <c r="AJ23">
        <v>13</v>
      </c>
      <c r="AK23">
        <v>14</v>
      </c>
      <c r="AL23">
        <v>15</v>
      </c>
      <c r="AM23">
        <v>16</v>
      </c>
      <c r="AN23">
        <v>17</v>
      </c>
      <c r="AO23">
        <v>18</v>
      </c>
      <c r="AP23">
        <v>19</v>
      </c>
      <c r="AQ23">
        <v>20</v>
      </c>
      <c r="AT23" t="s">
        <v>174</v>
      </c>
      <c r="BE23" s="6"/>
      <c r="BF23" t="s">
        <v>49</v>
      </c>
      <c r="BG23" s="7" t="s">
        <v>72</v>
      </c>
      <c r="BI23" t="s">
        <v>180</v>
      </c>
      <c r="BK23" t="str">
        <f>C1</f>
        <v>RB</v>
      </c>
      <c r="BL23" t="str">
        <f t="shared" ref="BL23:BM23" si="0">D1</f>
        <v>WR</v>
      </c>
      <c r="BM23" t="str">
        <f t="shared" si="0"/>
        <v>TE</v>
      </c>
    </row>
    <row r="24" spans="1:80" x14ac:dyDescent="0.3">
      <c r="H24" t="s">
        <v>166</v>
      </c>
      <c r="J24" t="s">
        <v>167</v>
      </c>
      <c r="K24" t="s">
        <v>164</v>
      </c>
      <c r="L24" t="s">
        <v>52</v>
      </c>
      <c r="M24" t="s">
        <v>165</v>
      </c>
      <c r="N24" t="s">
        <v>168</v>
      </c>
      <c r="P24" t="s">
        <v>170</v>
      </c>
      <c r="R24" t="s">
        <v>167</v>
      </c>
      <c r="S24" t="s">
        <v>164</v>
      </c>
      <c r="T24" t="s">
        <v>52</v>
      </c>
      <c r="U24" t="s">
        <v>165</v>
      </c>
      <c r="V24" t="s">
        <v>168</v>
      </c>
      <c r="X24" t="str" cm="1">
        <f t="array" ref="X24">INDEX($B1:$K1, 1, _xlfn.FLOOR.MATH((X23-1)/2)+1)</f>
        <v>QB</v>
      </c>
      <c r="Y24" t="str" cm="1">
        <f t="array" ref="Y24">INDEX($B1:$K1, 1, _xlfn.FLOOR.MATH((Y23-1)/2)+1)</f>
        <v>QB</v>
      </c>
      <c r="Z24" t="str" cm="1">
        <f t="array" ref="Z24">INDEX($B1:$K1, 1, _xlfn.FLOOR.MATH((Z23-1)/2)+1)</f>
        <v>RB</v>
      </c>
      <c r="AA24" t="str" cm="1">
        <f t="array" ref="AA24">INDEX($B1:$K1, 1, _xlfn.FLOOR.MATH((AA23-1)/2)+1)</f>
        <v>RB</v>
      </c>
      <c r="AB24" t="str" cm="1">
        <f t="array" ref="AB24">INDEX($B1:$K1, 1, _xlfn.FLOOR.MATH((AB23-1)/2)+1)</f>
        <v>WR</v>
      </c>
      <c r="AC24" t="str" cm="1">
        <f t="array" ref="AC24">INDEX($B1:$K1, 1, _xlfn.FLOOR.MATH((AC23-1)/2)+1)</f>
        <v>WR</v>
      </c>
      <c r="AD24" t="str" cm="1">
        <f t="array" ref="AD24">INDEX($B1:$K1, 1, _xlfn.FLOOR.MATH((AD23-1)/2)+1)</f>
        <v>TE</v>
      </c>
      <c r="AE24" t="str" cm="1">
        <f t="array" ref="AE24">INDEX($B1:$K1, 1, _xlfn.FLOOR.MATH((AE23-1)/2)+1)</f>
        <v>TE</v>
      </c>
      <c r="AF24" t="str" cm="1">
        <f t="array" ref="AF24">INDEX($B1:$K1, 1, _xlfn.FLOOR.MATH((AF23-1)/2)+1)</f>
        <v>K</v>
      </c>
      <c r="AG24" t="str" cm="1">
        <f t="array" ref="AG24">INDEX($B1:$K1, 1, _xlfn.FLOOR.MATH((AG23-1)/2)+1)</f>
        <v>K</v>
      </c>
      <c r="AH24" t="str" cm="1">
        <f t="array" ref="AH24">INDEX($B1:$K1, 1, _xlfn.FLOOR.MATH((AH23-1)/2)+1)</f>
        <v>D/ST</v>
      </c>
      <c r="AI24" t="str" cm="1">
        <f t="array" ref="AI24">INDEX($B1:$K1, 1, _xlfn.FLOOR.MATH((AI23-1)/2)+1)</f>
        <v>D/ST</v>
      </c>
      <c r="AJ24" cm="1">
        <f t="array" ref="AJ24">INDEX($B1:$K1, 1, _xlfn.FLOOR.MATH((AJ23-1)/2)+1)</f>
        <v>0</v>
      </c>
      <c r="AK24" cm="1">
        <f t="array" ref="AK24">INDEX($B1:$K1, 1, _xlfn.FLOOR.MATH((AK23-1)/2)+1)</f>
        <v>0</v>
      </c>
      <c r="AL24" cm="1">
        <f t="array" ref="AL24">INDEX($B1:$K1, 1, _xlfn.FLOOR.MATH((AL23-1)/2)+1)</f>
        <v>0</v>
      </c>
      <c r="AM24" cm="1">
        <f t="array" ref="AM24">INDEX($B1:$K1, 1, _xlfn.FLOOR.MATH((AM23-1)/2)+1)</f>
        <v>0</v>
      </c>
      <c r="AN24" cm="1">
        <f t="array" ref="AN24">INDEX($B1:$K1, 1, _xlfn.FLOOR.MATH((AN23-1)/2)+1)</f>
        <v>0</v>
      </c>
      <c r="AO24" cm="1">
        <f t="array" ref="AO24">INDEX($B1:$K1, 1, _xlfn.FLOOR.MATH((AO23-1)/2)+1)</f>
        <v>0</v>
      </c>
      <c r="AP24" cm="1">
        <f t="array" ref="AP24">INDEX($B1:$K1, 1, _xlfn.FLOOR.MATH((AP23-1)/2)+1)</f>
        <v>0</v>
      </c>
      <c r="AQ24" cm="1">
        <f t="array" ref="AQ24">INDEX($B1:$K1, 1, _xlfn.FLOOR.MATH((AQ23-1)/2)+1)</f>
        <v>0</v>
      </c>
      <c r="AT24" t="str">
        <f t="shared" ref="AT24:BC24" si="1">B1</f>
        <v>QB</v>
      </c>
      <c r="AU24" t="str">
        <f t="shared" si="1"/>
        <v>RB</v>
      </c>
      <c r="AV24" t="str">
        <f t="shared" si="1"/>
        <v>WR</v>
      </c>
      <c r="AW24" t="str">
        <f t="shared" si="1"/>
        <v>TE</v>
      </c>
      <c r="AX24" t="str">
        <f t="shared" si="1"/>
        <v>K</v>
      </c>
      <c r="AY24" t="str">
        <f t="shared" si="1"/>
        <v>D/ST</v>
      </c>
      <c r="AZ24">
        <f t="shared" si="1"/>
        <v>0</v>
      </c>
      <c r="BA24">
        <f t="shared" si="1"/>
        <v>0</v>
      </c>
      <c r="BB24">
        <f t="shared" si="1"/>
        <v>0</v>
      </c>
      <c r="BC24">
        <f t="shared" si="1"/>
        <v>0</v>
      </c>
      <c r="BE24" s="6"/>
    </row>
    <row r="25" spans="1:80" x14ac:dyDescent="0.3">
      <c r="A25" s="2" t="s">
        <v>68</v>
      </c>
      <c r="B25" t="s">
        <v>100</v>
      </c>
      <c r="C25" t="s">
        <v>103</v>
      </c>
      <c r="D25" t="s">
        <v>104</v>
      </c>
      <c r="E25">
        <v>15.3</v>
      </c>
      <c r="F25">
        <v>33.96</v>
      </c>
      <c r="H25">
        <f>IF(NOT(A25 = ""), MAX( H20:H24) + 1, 0)</f>
        <v>1</v>
      </c>
      <c r="I25">
        <v>1</v>
      </c>
      <c r="J25">
        <f>_xlfn.IFNA(R25, 0)</f>
        <v>1</v>
      </c>
      <c r="K25" t="str">
        <f t="shared" ref="K25:N25" si="2">_xlfn.IFNA(S25, 0)</f>
        <v>QB</v>
      </c>
      <c r="L25" t="str">
        <f t="shared" si="2"/>
        <v>QB</v>
      </c>
      <c r="M25">
        <f t="shared" si="2"/>
        <v>33.96</v>
      </c>
      <c r="N25" t="str">
        <f t="shared" si="2"/>
        <v>DetQB</v>
      </c>
      <c r="P25">
        <f>IF(OR(K25="bench", K25 = 0), 0, M25)</f>
        <v>33.96</v>
      </c>
      <c r="R25">
        <f>MATCH($I25, $H$25:$H$325, 0)</f>
        <v>1</v>
      </c>
      <c r="S25" t="str" cm="1">
        <f t="array" ref="S25">INDEX($A$25:$A$325, R25, 1)</f>
        <v>QB</v>
      </c>
      <c r="T25" t="str">
        <f>IF(COUNTIF($B$1:$H$1, RIGHT(V25,LEN(V25)-2)) = 1, RIGHT(V25, LEN(V25)-2), RIGHT(V25, LEN(V25)-3))</f>
        <v>QB</v>
      </c>
      <c r="U25" cm="1">
        <f t="array" ref="U25">INDEX($F$25:$F$325, R25, 1)</f>
        <v>33.96</v>
      </c>
      <c r="V25" t="str" cm="1">
        <f t="array" ref="V25">INDEX($B$25:$B$325, R25+2, 1)</f>
        <v>DetQB</v>
      </c>
      <c r="X25">
        <f t="shared" ref="X25:X56" si="3">IF($L25=X$24,$M25, 0)</f>
        <v>33.96</v>
      </c>
      <c r="Y25" cm="1">
        <f t="array" ref="Y25:Y128">_xlfn._xlws.SORT(X25:X128, 1,-1 )</f>
        <v>33.96</v>
      </c>
      <c r="Z25">
        <f>IF($L25=Z$24,$M25, 0)</f>
        <v>0</v>
      </c>
      <c r="AA25" cm="1">
        <f t="array" ref="AA25:AA128">_xlfn._xlws.SORT(Z25:Z128, 1,-1 )</f>
        <v>28.5</v>
      </c>
      <c r="AB25">
        <f>IF($L25=AB$24,$M25, 0)</f>
        <v>0</v>
      </c>
      <c r="AC25" cm="1">
        <f t="array" ref="AC25:AC128">_xlfn._xlws.SORT(AB25:AB128, 1,-1 )</f>
        <v>13.9</v>
      </c>
      <c r="AD25">
        <f>IF($L25=AD$24,$M25, 0)</f>
        <v>0</v>
      </c>
      <c r="AE25" cm="1">
        <f t="array" ref="AE25:AE128">_xlfn._xlws.SORT(AD25:AD128, 1,-1 )</f>
        <v>8.1</v>
      </c>
      <c r="AF25">
        <f>IF($L25=AF$24,$M25, 0)</f>
        <v>0</v>
      </c>
      <c r="AG25" cm="1">
        <f t="array" ref="AG25:AG128">_xlfn._xlws.SORT(AF25:AF128, 1,-1 )</f>
        <v>6</v>
      </c>
      <c r="AH25">
        <f>IF($L25=AH$24,$M25, 0)</f>
        <v>0</v>
      </c>
      <c r="AI25" cm="1">
        <f t="array" ref="AI25:AI128">_xlfn._xlws.SORT(AH25:AH128, 1,-1 )</f>
        <v>0</v>
      </c>
      <c r="AJ25">
        <f>IF($L25=AJ$24,$M25, 0)</f>
        <v>0</v>
      </c>
      <c r="AK25" cm="1">
        <f t="array" ref="AK25:AK128">_xlfn._xlws.SORT(AJ25:AJ128, 1,-1 )</f>
        <v>0</v>
      </c>
      <c r="AL25">
        <f>IF($L25=AL$24,$M25, 0)</f>
        <v>0</v>
      </c>
      <c r="AM25" cm="1">
        <f t="array" ref="AM25:AM128">_xlfn._xlws.SORT(AL25:AL128, 1,-1 )</f>
        <v>0</v>
      </c>
      <c r="AN25">
        <f>IF($L25=AN$24,$M25, 0)</f>
        <v>0</v>
      </c>
      <c r="AO25" cm="1">
        <f t="array" ref="AO25:AO128">_xlfn._xlws.SORT(AN25:AN128, 1,-1 )</f>
        <v>0</v>
      </c>
      <c r="AP25">
        <f>IF($L25=AP$24,$M25, 0)</f>
        <v>0</v>
      </c>
      <c r="AQ25" cm="1">
        <f t="array" ref="AQ25:AQ128">_xlfn._xlws.SORT(AP25:AP128, 1,-1 )</f>
        <v>0</v>
      </c>
      <c r="AT25">
        <f>COUNTIF($K25:$K128, AT24)</f>
        <v>1</v>
      </c>
      <c r="AU25">
        <f t="shared" ref="AU25:BC25" si="4">COUNTIF($K25:$K128, AU24)</f>
        <v>2</v>
      </c>
      <c r="AV25">
        <f t="shared" si="4"/>
        <v>2</v>
      </c>
      <c r="AW25">
        <f t="shared" si="4"/>
        <v>1</v>
      </c>
      <c r="AX25">
        <f t="shared" si="4"/>
        <v>1</v>
      </c>
      <c r="AY25">
        <f t="shared" si="4"/>
        <v>1</v>
      </c>
      <c r="AZ25">
        <f t="shared" si="4"/>
        <v>88</v>
      </c>
      <c r="BA25">
        <f t="shared" si="4"/>
        <v>88</v>
      </c>
      <c r="BB25">
        <f t="shared" si="4"/>
        <v>88</v>
      </c>
      <c r="BC25">
        <f t="shared" si="4"/>
        <v>88</v>
      </c>
      <c r="BE25" s="6"/>
      <c r="BH25" t="s">
        <v>181</v>
      </c>
      <c r="BP25" t="s">
        <v>183</v>
      </c>
      <c r="BX25" t="s">
        <v>185</v>
      </c>
      <c r="BY25" t="s">
        <v>186</v>
      </c>
      <c r="CA25" t="s">
        <v>166</v>
      </c>
      <c r="CB25" t="s">
        <v>187</v>
      </c>
    </row>
    <row r="26" spans="1:80" x14ac:dyDescent="0.3">
      <c r="B26" t="s">
        <v>101</v>
      </c>
      <c r="H26">
        <f t="shared" ref="H26:H89" si="5">IF(NOT(A26 = ""), MAX( H21:H25) + 1, 0)</f>
        <v>0</v>
      </c>
      <c r="I26">
        <v>2</v>
      </c>
      <c r="J26">
        <f t="shared" ref="J26:J89" si="6">_xlfn.IFNA(R26, 0)</f>
        <v>4</v>
      </c>
      <c r="K26" t="str">
        <f t="shared" ref="K26:K89" si="7">_xlfn.IFNA(S26, 0)</f>
        <v>RB</v>
      </c>
      <c r="L26" t="str">
        <f t="shared" ref="L26:L89" si="8">_xlfn.IFNA(T26, 0)</f>
        <v>RB</v>
      </c>
      <c r="M26">
        <f t="shared" ref="M26:M89" si="9">_xlfn.IFNA(U26, 0)</f>
        <v>16.399999999999999</v>
      </c>
      <c r="N26" t="str">
        <f t="shared" ref="N26:N89" si="10">_xlfn.IFNA(V26, 0)</f>
        <v>PhiRB</v>
      </c>
      <c r="P26">
        <f t="shared" ref="P26:P89" si="11">IF(OR(K26="bench", K26 = 0), 0, M26)</f>
        <v>16.399999999999999</v>
      </c>
      <c r="R26">
        <f t="shared" ref="R26:R89" si="12">MATCH($I26, $H$25:$H$325, 0)</f>
        <v>4</v>
      </c>
      <c r="S26" t="str" cm="1">
        <f t="array" ref="S26">INDEX($A$25:$A$325, R26, 1)</f>
        <v>RB</v>
      </c>
      <c r="T26" t="str">
        <f t="shared" ref="T26:T89" si="13">IF(COUNTIF($B$1:$H$1, RIGHT(V26,LEN(V26)-2)) = 1, RIGHT(V26, LEN(V26)-2), RIGHT(V26, LEN(V26)-3))</f>
        <v>RB</v>
      </c>
      <c r="U26" cm="1">
        <f t="array" ref="U26">INDEX($F$25:$F$325, R26, 1)</f>
        <v>16.399999999999999</v>
      </c>
      <c r="V26" t="str" cm="1">
        <f t="array" ref="V26">INDEX($B$25:$B$325, R26+2, 1)</f>
        <v>PhiRB</v>
      </c>
      <c r="X26">
        <f t="shared" si="3"/>
        <v>0</v>
      </c>
      <c r="Y26">
        <v>14.98</v>
      </c>
      <c r="Z26">
        <f t="shared" ref="Z26:Z89" si="14">IF($L26=Z$24,$M26, 0)</f>
        <v>16.399999999999999</v>
      </c>
      <c r="AA26">
        <v>16.399999999999999</v>
      </c>
      <c r="AB26">
        <f t="shared" ref="AB26:AB89" si="15">IF($L26=AB$24,$M26, 0)</f>
        <v>0</v>
      </c>
      <c r="AC26">
        <v>13.9</v>
      </c>
      <c r="AD26">
        <f t="shared" ref="AD26:AD89" si="16">IF($L26=AD$24,$M26, 0)</f>
        <v>0</v>
      </c>
      <c r="AE26">
        <v>0</v>
      </c>
      <c r="AF26">
        <f t="shared" ref="AF26:AF89" si="17">IF($L26=AF$24,$M26, 0)</f>
        <v>0</v>
      </c>
      <c r="AG26">
        <v>0</v>
      </c>
      <c r="AH26">
        <f t="shared" ref="AH26:AH89" si="18">IF($L26=AH$24,$M26, 0)</f>
        <v>0</v>
      </c>
      <c r="AI26">
        <v>0</v>
      </c>
      <c r="AJ26">
        <f t="shared" ref="AJ26:AJ89" si="19">IF($L26=AJ$24,$M26, 0)</f>
        <v>0</v>
      </c>
      <c r="AK26">
        <v>0</v>
      </c>
      <c r="AL26">
        <f t="shared" ref="AL26:AL89" si="20">IF($L26=AL$24,$M26, 0)</f>
        <v>0</v>
      </c>
      <c r="AM26">
        <v>0</v>
      </c>
      <c r="AN26">
        <f t="shared" ref="AN26:AN89" si="21">IF($L26=AN$24,$M26, 0)</f>
        <v>0</v>
      </c>
      <c r="AO26">
        <v>0</v>
      </c>
      <c r="AP26">
        <f t="shared" ref="AP26:AP89" si="22">IF($L26=AP$24,$M26, 0)</f>
        <v>0</v>
      </c>
      <c r="AQ26">
        <v>0</v>
      </c>
      <c r="BE26" s="6"/>
      <c r="BH26" t="str">
        <f>BK23</f>
        <v>RB</v>
      </c>
      <c r="BI26" t="str">
        <f t="shared" ref="BI26:BN26" si="23">BL23</f>
        <v>WR</v>
      </c>
      <c r="BJ26" t="str">
        <f t="shared" si="23"/>
        <v>TE</v>
      </c>
      <c r="BK26">
        <f t="shared" si="23"/>
        <v>0</v>
      </c>
      <c r="BL26">
        <f t="shared" si="23"/>
        <v>0</v>
      </c>
      <c r="BM26">
        <f t="shared" si="23"/>
        <v>0</v>
      </c>
      <c r="BN26">
        <f t="shared" si="23"/>
        <v>0</v>
      </c>
      <c r="BP26" t="str">
        <f>BH26</f>
        <v>RB</v>
      </c>
      <c r="BQ26" t="str">
        <f t="shared" ref="BQ26:BV26" si="24">BI26</f>
        <v>WR</v>
      </c>
      <c r="BR26" t="str">
        <f t="shared" si="24"/>
        <v>TE</v>
      </c>
      <c r="BS26">
        <f t="shared" si="24"/>
        <v>0</v>
      </c>
      <c r="BT26">
        <f t="shared" si="24"/>
        <v>0</v>
      </c>
      <c r="BU26">
        <f t="shared" si="24"/>
        <v>0</v>
      </c>
      <c r="BV26">
        <f t="shared" si="24"/>
        <v>0</v>
      </c>
      <c r="BX26" cm="1">
        <f t="array" ref="BX26:BX172">_xlfn.TOCOL(BP28:BV48)</f>
        <v>13</v>
      </c>
      <c r="BY26" cm="1">
        <f t="array" ref="BY26:BY172">_xlfn._xlws.SORT(BX26:BX172, 1,-1)</f>
        <v>13</v>
      </c>
      <c r="CA26">
        <v>1</v>
      </c>
      <c r="CB26">
        <f>IF(CA26&lt;=BZ$20,BY26,0)</f>
        <v>13</v>
      </c>
    </row>
    <row r="27" spans="1:80" x14ac:dyDescent="0.3">
      <c r="B27" t="s">
        <v>102</v>
      </c>
      <c r="H27">
        <f t="shared" si="5"/>
        <v>0</v>
      </c>
      <c r="I27">
        <v>3</v>
      </c>
      <c r="J27">
        <f t="shared" si="6"/>
        <v>7</v>
      </c>
      <c r="K27" t="str">
        <f t="shared" si="7"/>
        <v>RB</v>
      </c>
      <c r="L27" t="str">
        <f t="shared" si="8"/>
        <v>RB</v>
      </c>
      <c r="M27">
        <f t="shared" si="9"/>
        <v>28.5</v>
      </c>
      <c r="N27" t="str">
        <f t="shared" si="10"/>
        <v>IndRB</v>
      </c>
      <c r="P27">
        <f t="shared" si="11"/>
        <v>28.5</v>
      </c>
      <c r="R27">
        <f t="shared" si="12"/>
        <v>7</v>
      </c>
      <c r="S27" t="str" cm="1">
        <f t="array" ref="S27">INDEX($A$25:$A$325, R27, 1)</f>
        <v>RB</v>
      </c>
      <c r="T27" t="str">
        <f t="shared" si="13"/>
        <v>RB</v>
      </c>
      <c r="U27" cm="1">
        <f t="array" ref="U27">INDEX($F$25:$F$325, R27, 1)</f>
        <v>28.5</v>
      </c>
      <c r="V27" t="str" cm="1">
        <f t="array" ref="V27">INDEX($B$25:$B$325, R27+2, 1)</f>
        <v>IndRB</v>
      </c>
      <c r="X27">
        <f t="shared" si="3"/>
        <v>0</v>
      </c>
      <c r="Y27">
        <v>0</v>
      </c>
      <c r="Z27">
        <f t="shared" si="14"/>
        <v>28.5</v>
      </c>
      <c r="AA27">
        <v>13</v>
      </c>
      <c r="AB27">
        <f t="shared" si="15"/>
        <v>0</v>
      </c>
      <c r="AC27">
        <v>8.4</v>
      </c>
      <c r="AD27">
        <f t="shared" si="16"/>
        <v>0</v>
      </c>
      <c r="AE27">
        <v>0</v>
      </c>
      <c r="AF27">
        <f t="shared" si="17"/>
        <v>0</v>
      </c>
      <c r="AG27">
        <v>0</v>
      </c>
      <c r="AH27">
        <f t="shared" si="18"/>
        <v>0</v>
      </c>
      <c r="AI27">
        <v>0</v>
      </c>
      <c r="AJ27">
        <f t="shared" si="19"/>
        <v>0</v>
      </c>
      <c r="AK27">
        <v>0</v>
      </c>
      <c r="AL27">
        <f t="shared" si="20"/>
        <v>0</v>
      </c>
      <c r="AM27">
        <v>0</v>
      </c>
      <c r="AN27">
        <f t="shared" si="21"/>
        <v>0</v>
      </c>
      <c r="AO27">
        <v>0</v>
      </c>
      <c r="AP27">
        <f t="shared" si="22"/>
        <v>0</v>
      </c>
      <c r="AQ27">
        <v>0</v>
      </c>
      <c r="AT27" t="s">
        <v>175</v>
      </c>
      <c r="BE27" s="6"/>
      <c r="BG27" t="s">
        <v>166</v>
      </c>
      <c r="BH27">
        <f>MATCH(BH26,$X24:$AQ24, 0)</f>
        <v>3</v>
      </c>
      <c r="BI27">
        <f t="shared" ref="BI27:BN27" si="25">MATCH(BI26,$X24:$AQ24, 0)</f>
        <v>5</v>
      </c>
      <c r="BJ27">
        <f t="shared" si="25"/>
        <v>7</v>
      </c>
      <c r="BK27">
        <f t="shared" si="25"/>
        <v>13</v>
      </c>
      <c r="BL27">
        <f t="shared" si="25"/>
        <v>13</v>
      </c>
      <c r="BM27">
        <f t="shared" si="25"/>
        <v>13</v>
      </c>
      <c r="BN27">
        <f t="shared" si="25"/>
        <v>13</v>
      </c>
      <c r="BX27">
        <v>8.4</v>
      </c>
      <c r="BY27">
        <v>8.4</v>
      </c>
      <c r="CA27">
        <v>2</v>
      </c>
      <c r="CB27">
        <f t="shared" ref="CB27:CB90" si="26">IF(CA27&lt;=BZ$20,BY27,0)</f>
        <v>0</v>
      </c>
    </row>
    <row r="28" spans="1:80" x14ac:dyDescent="0.3">
      <c r="A28" t="s">
        <v>69</v>
      </c>
      <c r="B28" t="s">
        <v>105</v>
      </c>
      <c r="C28" t="s">
        <v>91</v>
      </c>
      <c r="D28" t="s">
        <v>92</v>
      </c>
      <c r="E28">
        <v>16.899999999999999</v>
      </c>
      <c r="F28">
        <v>16.399999999999999</v>
      </c>
      <c r="H28">
        <f t="shared" si="5"/>
        <v>2</v>
      </c>
      <c r="I28">
        <v>4</v>
      </c>
      <c r="J28">
        <f t="shared" si="6"/>
        <v>10</v>
      </c>
      <c r="K28" t="str">
        <f t="shared" si="7"/>
        <v>WR</v>
      </c>
      <c r="L28" t="str">
        <f t="shared" si="8"/>
        <v>WR</v>
      </c>
      <c r="M28">
        <f t="shared" si="9"/>
        <v>13.9</v>
      </c>
      <c r="N28" t="str">
        <f t="shared" si="10"/>
        <v>MiaWR</v>
      </c>
      <c r="P28">
        <f t="shared" si="11"/>
        <v>13.9</v>
      </c>
      <c r="R28">
        <f t="shared" si="12"/>
        <v>10</v>
      </c>
      <c r="S28" t="str" cm="1">
        <f t="array" ref="S28">INDEX($A$25:$A$325, R28, 1)</f>
        <v>WR</v>
      </c>
      <c r="T28" t="str">
        <f t="shared" si="13"/>
        <v>WR</v>
      </c>
      <c r="U28" cm="1">
        <f t="array" ref="U28">INDEX($F$25:$F$325, R28, 1)</f>
        <v>13.9</v>
      </c>
      <c r="V28" t="str" cm="1">
        <f t="array" ref="V28">INDEX($B$25:$B$325, R28+2, 1)</f>
        <v>MiaWR</v>
      </c>
      <c r="X28">
        <f t="shared" si="3"/>
        <v>0</v>
      </c>
      <c r="Y28">
        <v>0</v>
      </c>
      <c r="Z28">
        <f t="shared" si="14"/>
        <v>0</v>
      </c>
      <c r="AA28">
        <v>0</v>
      </c>
      <c r="AB28">
        <f t="shared" si="15"/>
        <v>13.9</v>
      </c>
      <c r="AC28">
        <v>7.1</v>
      </c>
      <c r="AD28">
        <f t="shared" si="16"/>
        <v>0</v>
      </c>
      <c r="AE28">
        <v>0</v>
      </c>
      <c r="AF28">
        <f t="shared" si="17"/>
        <v>0</v>
      </c>
      <c r="AG28">
        <v>0</v>
      </c>
      <c r="AH28">
        <f t="shared" si="18"/>
        <v>0</v>
      </c>
      <c r="AI28">
        <v>0</v>
      </c>
      <c r="AJ28">
        <f t="shared" si="19"/>
        <v>0</v>
      </c>
      <c r="AK28">
        <v>0</v>
      </c>
      <c r="AL28">
        <f t="shared" si="20"/>
        <v>0</v>
      </c>
      <c r="AM28">
        <v>0</v>
      </c>
      <c r="AN28">
        <f t="shared" si="21"/>
        <v>0</v>
      </c>
      <c r="AO28">
        <v>0</v>
      </c>
      <c r="AP28">
        <f t="shared" si="22"/>
        <v>0</v>
      </c>
      <c r="AQ28">
        <v>0</v>
      </c>
      <c r="AT28" t="str">
        <f>B1</f>
        <v>QB</v>
      </c>
      <c r="AU28" t="str">
        <f t="shared" ref="AU28:BC28" si="27">C1</f>
        <v>RB</v>
      </c>
      <c r="AV28" t="str">
        <f t="shared" si="27"/>
        <v>WR</v>
      </c>
      <c r="AW28" t="str">
        <f t="shared" si="27"/>
        <v>TE</v>
      </c>
      <c r="AX28" t="str">
        <f t="shared" si="27"/>
        <v>K</v>
      </c>
      <c r="AY28" t="str">
        <f t="shared" si="27"/>
        <v>D/ST</v>
      </c>
      <c r="AZ28">
        <f t="shared" si="27"/>
        <v>0</v>
      </c>
      <c r="BA28">
        <f t="shared" si="27"/>
        <v>0</v>
      </c>
      <c r="BB28">
        <f t="shared" si="27"/>
        <v>0</v>
      </c>
      <c r="BC28">
        <f t="shared" si="27"/>
        <v>0</v>
      </c>
      <c r="BE28" s="6"/>
      <c r="BG28">
        <v>1</v>
      </c>
      <c r="BH28" cm="1">
        <f t="array" ref="BH28">INDEX($X$25:$AQ$128, $BG28, BH$27+1)</f>
        <v>28.5</v>
      </c>
      <c r="BI28" cm="1">
        <f t="array" ref="BI28">INDEX($X$25:$AQ$128, $BG28, BI$27+1)</f>
        <v>13.9</v>
      </c>
      <c r="BJ28" cm="1">
        <f t="array" ref="BJ28">INDEX($X$25:$AQ$128, $BG28, BJ$27+1)</f>
        <v>8.1</v>
      </c>
      <c r="BK28" cm="1">
        <f t="array" ref="BK28">INDEX($X$25:$AQ$128, $BG28, BK$27+1)</f>
        <v>0</v>
      </c>
      <c r="BL28" cm="1">
        <f t="array" ref="BL28">INDEX($X$25:$AQ$128, $BG28, BL$27+1)</f>
        <v>0</v>
      </c>
      <c r="BM28" cm="1">
        <f t="array" ref="BM28">INDEX($X$25:$AQ$128, $BG28, BM$27+1)</f>
        <v>0</v>
      </c>
      <c r="BN28" cm="1">
        <f t="array" ref="BN28">INDEX($X$25:$AQ$128, $BG28, BN$27+1)</f>
        <v>0</v>
      </c>
      <c r="BP28" cm="1">
        <f t="array" ref="BP28">IFERROR(INDEX(BH$28:BH$48, $BG28+BH$53, 1), 0)</f>
        <v>13</v>
      </c>
      <c r="BQ28" cm="1">
        <f t="array" ref="BQ28">IFERROR(INDEX(BI$28:BI$48, $BG28+BI$53, 1), 0)</f>
        <v>8.4</v>
      </c>
      <c r="BR28" cm="1">
        <f t="array" ref="BR28">IFERROR(INDEX(BJ$28:BJ$48, $BG28+BJ$53, 1), 0)</f>
        <v>0</v>
      </c>
      <c r="BS28" cm="1">
        <f t="array" ref="BS28">IFERROR(INDEX(BK$28:BK$48, $BG28+BK$53, 1), 0)</f>
        <v>0</v>
      </c>
      <c r="BT28" cm="1">
        <f t="array" ref="BT28">IFERROR(INDEX(BL$28:BL$48, $BG28+BL$53, 1), 0)</f>
        <v>0</v>
      </c>
      <c r="BU28" cm="1">
        <f t="array" ref="BU28">IFERROR(INDEX(BM$28:BM$48, $BG28+BM$53, 1), 0)</f>
        <v>0</v>
      </c>
      <c r="BV28" cm="1">
        <f t="array" ref="BV28">IFERROR(INDEX(BN$28:BN$48, $BG28+BN$53, 1), 0)</f>
        <v>0</v>
      </c>
      <c r="BX28">
        <v>0</v>
      </c>
      <c r="BY28">
        <v>7.1</v>
      </c>
      <c r="CA28">
        <v>3</v>
      </c>
      <c r="CB28">
        <f t="shared" si="26"/>
        <v>0</v>
      </c>
    </row>
    <row r="29" spans="1:80" x14ac:dyDescent="0.3">
      <c r="B29" t="s">
        <v>106</v>
      </c>
      <c r="H29">
        <f t="shared" si="5"/>
        <v>0</v>
      </c>
      <c r="I29">
        <v>5</v>
      </c>
      <c r="J29">
        <f t="shared" si="6"/>
        <v>13</v>
      </c>
      <c r="K29" t="str">
        <f t="shared" si="7"/>
        <v>WR</v>
      </c>
      <c r="L29" t="str">
        <f t="shared" si="8"/>
        <v>WR</v>
      </c>
      <c r="M29">
        <f t="shared" si="9"/>
        <v>7</v>
      </c>
      <c r="N29" t="str">
        <f t="shared" si="10"/>
        <v>NYJWR</v>
      </c>
      <c r="P29">
        <f t="shared" si="11"/>
        <v>7</v>
      </c>
      <c r="R29">
        <f t="shared" si="12"/>
        <v>13</v>
      </c>
      <c r="S29" t="str" cm="1">
        <f t="array" ref="S29">INDEX($A$25:$A$325, R29, 1)</f>
        <v>WR</v>
      </c>
      <c r="T29" t="str">
        <f t="shared" si="13"/>
        <v>WR</v>
      </c>
      <c r="U29" cm="1">
        <f t="array" ref="U29">INDEX($F$25:$F$325, R29, 1)</f>
        <v>7</v>
      </c>
      <c r="V29" t="str" cm="1">
        <f t="array" ref="V29">INDEX($B$25:$B$325, R29+2, 1)</f>
        <v>NYJWR</v>
      </c>
      <c r="X29">
        <f t="shared" si="3"/>
        <v>0</v>
      </c>
      <c r="Y29">
        <v>0</v>
      </c>
      <c r="Z29">
        <f t="shared" si="14"/>
        <v>0</v>
      </c>
      <c r="AA29">
        <v>0</v>
      </c>
      <c r="AB29">
        <f t="shared" si="15"/>
        <v>7</v>
      </c>
      <c r="AC29">
        <v>7</v>
      </c>
      <c r="AD29">
        <f t="shared" si="16"/>
        <v>0</v>
      </c>
      <c r="AE29">
        <v>0</v>
      </c>
      <c r="AF29">
        <f t="shared" si="17"/>
        <v>0</v>
      </c>
      <c r="AG29">
        <v>0</v>
      </c>
      <c r="AH29">
        <f t="shared" si="18"/>
        <v>0</v>
      </c>
      <c r="AI29">
        <v>0</v>
      </c>
      <c r="AJ29">
        <f t="shared" si="19"/>
        <v>0</v>
      </c>
      <c r="AK29">
        <v>0</v>
      </c>
      <c r="AL29">
        <f t="shared" si="20"/>
        <v>0</v>
      </c>
      <c r="AM29">
        <v>0</v>
      </c>
      <c r="AN29">
        <f t="shared" si="21"/>
        <v>0</v>
      </c>
      <c r="AO29">
        <v>0</v>
      </c>
      <c r="AP29">
        <f t="shared" si="22"/>
        <v>0</v>
      </c>
      <c r="AQ29">
        <v>0</v>
      </c>
      <c r="AT29">
        <v>1</v>
      </c>
      <c r="AU29">
        <v>2</v>
      </c>
      <c r="AV29">
        <v>3</v>
      </c>
      <c r="AW29">
        <v>4</v>
      </c>
      <c r="AX29">
        <v>5</v>
      </c>
      <c r="AY29">
        <v>6</v>
      </c>
      <c r="AZ29">
        <v>7</v>
      </c>
      <c r="BA29">
        <v>8</v>
      </c>
      <c r="BB29">
        <v>9</v>
      </c>
      <c r="BC29">
        <v>10</v>
      </c>
      <c r="BE29" s="6"/>
      <c r="BG29">
        <v>2</v>
      </c>
      <c r="BH29" cm="1">
        <f t="array" ref="BH29">INDEX($X$25:$AQ$128, $BG29, BH$27+1)</f>
        <v>16.399999999999999</v>
      </c>
      <c r="BI29" cm="1">
        <f t="array" ref="BI29">INDEX($X$25:$AQ$128, $BG29, BI$27+1)</f>
        <v>13.9</v>
      </c>
      <c r="BJ29" cm="1">
        <f t="array" ref="BJ29">INDEX($X$25:$AQ$128, $BG29, BJ$27+1)</f>
        <v>0</v>
      </c>
      <c r="BK29" cm="1">
        <f t="array" ref="BK29">INDEX($X$25:$AQ$128, $BG29, BK$27+1)</f>
        <v>0</v>
      </c>
      <c r="BL29" cm="1">
        <f t="array" ref="BL29">INDEX($X$25:$AQ$128, $BG29, BL$27+1)</f>
        <v>0</v>
      </c>
      <c r="BM29" cm="1">
        <f t="array" ref="BM29">INDEX($X$25:$AQ$128, $BG29, BM$27+1)</f>
        <v>0</v>
      </c>
      <c r="BN29" cm="1">
        <f t="array" ref="BN29">INDEX($X$25:$AQ$128, $BG29, BN$27+1)</f>
        <v>0</v>
      </c>
      <c r="BP29" cm="1">
        <f t="array" ref="BP29">IFERROR(INDEX(BH$28:BH$48, $BG29+BH$53, 1), 0)</f>
        <v>0</v>
      </c>
      <c r="BQ29" cm="1">
        <f t="array" ref="BQ29">IFERROR(INDEX(BI$28:BI$48, $BG29+BI$53, 1), 0)</f>
        <v>7.1</v>
      </c>
      <c r="BR29" cm="1">
        <f t="array" ref="BR29">IFERROR(INDEX(BJ$28:BJ$48, $BG29+BJ$53, 1), 0)</f>
        <v>0</v>
      </c>
      <c r="BS29" cm="1">
        <f t="array" ref="BS29">IFERROR(INDEX(BK$28:BK$48, $BG29+BK$53, 1), 0)</f>
        <v>0</v>
      </c>
      <c r="BT29" cm="1">
        <f t="array" ref="BT29">IFERROR(INDEX(BL$28:BL$48, $BG29+BL$53, 1), 0)</f>
        <v>0</v>
      </c>
      <c r="BU29" cm="1">
        <f t="array" ref="BU29">IFERROR(INDEX(BM$28:BM$48, $BG29+BM$53, 1), 0)</f>
        <v>0</v>
      </c>
      <c r="BV29" cm="1">
        <f t="array" ref="BV29">IFERROR(INDEX(BN$28:BN$48, $BG29+BN$53, 1), 0)</f>
        <v>0</v>
      </c>
      <c r="BX29">
        <v>0</v>
      </c>
      <c r="BY29">
        <v>7</v>
      </c>
      <c r="CA29">
        <v>4</v>
      </c>
      <c r="CB29">
        <f t="shared" si="26"/>
        <v>0</v>
      </c>
    </row>
    <row r="30" spans="1:80" x14ac:dyDescent="0.3">
      <c r="B30" t="s">
        <v>107</v>
      </c>
      <c r="H30">
        <f t="shared" si="5"/>
        <v>0</v>
      </c>
      <c r="I30">
        <v>6</v>
      </c>
      <c r="J30">
        <f t="shared" si="6"/>
        <v>16</v>
      </c>
      <c r="K30" t="str">
        <f t="shared" si="7"/>
        <v>TE</v>
      </c>
      <c r="L30" t="str">
        <f t="shared" si="8"/>
        <v>TE</v>
      </c>
      <c r="M30">
        <f t="shared" si="9"/>
        <v>8.1</v>
      </c>
      <c r="N30" t="str">
        <f t="shared" si="10"/>
        <v>KCTE</v>
      </c>
      <c r="P30">
        <f t="shared" si="11"/>
        <v>8.1</v>
      </c>
      <c r="R30">
        <f t="shared" si="12"/>
        <v>16</v>
      </c>
      <c r="S30" t="str" cm="1">
        <f t="array" ref="S30">INDEX($A$25:$A$325, R30, 1)</f>
        <v>TE</v>
      </c>
      <c r="T30" t="str">
        <f t="shared" si="13"/>
        <v>TE</v>
      </c>
      <c r="U30" cm="1">
        <f t="array" ref="U30">INDEX($F$25:$F$325, R30, 1)</f>
        <v>8.1</v>
      </c>
      <c r="V30" t="str" cm="1">
        <f t="array" ref="V30">INDEX($B$25:$B$325, R30+2, 1)</f>
        <v>KCTE</v>
      </c>
      <c r="X30">
        <f t="shared" si="3"/>
        <v>0</v>
      </c>
      <c r="Y30">
        <v>0</v>
      </c>
      <c r="Z30">
        <f t="shared" si="14"/>
        <v>0</v>
      </c>
      <c r="AA30">
        <v>0</v>
      </c>
      <c r="AB30">
        <f t="shared" si="15"/>
        <v>0</v>
      </c>
      <c r="AC30">
        <v>5.5</v>
      </c>
      <c r="AD30">
        <f t="shared" si="16"/>
        <v>8.1</v>
      </c>
      <c r="AE30">
        <v>0</v>
      </c>
      <c r="AF30">
        <f t="shared" si="17"/>
        <v>0</v>
      </c>
      <c r="AG30">
        <v>0</v>
      </c>
      <c r="AH30">
        <f t="shared" si="18"/>
        <v>0</v>
      </c>
      <c r="AI30">
        <v>0</v>
      </c>
      <c r="AJ30">
        <f t="shared" si="19"/>
        <v>0</v>
      </c>
      <c r="AK30">
        <v>0</v>
      </c>
      <c r="AL30">
        <f t="shared" si="20"/>
        <v>0</v>
      </c>
      <c r="AM30">
        <v>0</v>
      </c>
      <c r="AN30">
        <f t="shared" si="21"/>
        <v>0</v>
      </c>
      <c r="AO30">
        <v>0</v>
      </c>
      <c r="AP30">
        <f t="shared" si="22"/>
        <v>0</v>
      </c>
      <c r="AQ30">
        <v>0</v>
      </c>
      <c r="AS30">
        <v>1</v>
      </c>
      <c r="AT30" cm="1">
        <f t="array" ref="AT30">IF(AT$25&gt;=$AS30, INDEX($X25:$AQ25, 1, AT$29*2), 0)</f>
        <v>33.96</v>
      </c>
      <c r="AU30" cm="1">
        <f t="array" ref="AU30">IF(AU$25&gt;=$AS30, INDEX($X25:$AQ25, 1, AU$29*2), 0)</f>
        <v>28.5</v>
      </c>
      <c r="AV30" cm="1">
        <f t="array" ref="AV30">IF(AV$25&gt;=$AS30, INDEX($X25:$AQ25, 1, AV$29*2), 0)</f>
        <v>13.9</v>
      </c>
      <c r="AW30" cm="1">
        <f t="array" ref="AW30">IF(AW$25&gt;=$AS30, INDEX($X25:$AQ25, 1, AW$29*2), 0)</f>
        <v>8.1</v>
      </c>
      <c r="AX30" cm="1">
        <f t="array" ref="AX30">IF(AX$25&gt;=$AS30, INDEX($X25:$AQ25, 1, AX$29*2), 0)</f>
        <v>6</v>
      </c>
      <c r="AY30" cm="1">
        <f t="array" ref="AY30">IF(AY$25&gt;=$AS30, INDEX($X25:$AQ25, 1, AY$29*2), 0)</f>
        <v>0</v>
      </c>
      <c r="AZ30" cm="1">
        <f t="array" ref="AZ30">IF(AZ$25&gt;=$AS30, INDEX($X25:$AQ25, 1, AZ$29*2), 0)</f>
        <v>0</v>
      </c>
      <c r="BA30" cm="1">
        <f t="array" ref="BA30">IF(BA$25&gt;=$AS30, INDEX($X25:$AQ25, 1, BA$29*2), 0)</f>
        <v>0</v>
      </c>
      <c r="BB30" cm="1">
        <f t="array" ref="BB30">IF(BB$25&gt;=$AS30, INDEX($X25:$AQ25, 1, BB$29*2), 0)</f>
        <v>0</v>
      </c>
      <c r="BC30" cm="1">
        <f t="array" ref="BC30">IF(BC$25&gt;=$AS30, INDEX($X25:$AQ25, 1, BC$29*2), 0)</f>
        <v>0</v>
      </c>
      <c r="BE30" s="6"/>
      <c r="BG30">
        <v>3</v>
      </c>
      <c r="BH30" cm="1">
        <f t="array" ref="BH30">INDEX($X$25:$AQ$128, $BG30, BH$27+1)</f>
        <v>13</v>
      </c>
      <c r="BI30" cm="1">
        <f t="array" ref="BI30">INDEX($X$25:$AQ$128, $BG30, BI$27+1)</f>
        <v>8.4</v>
      </c>
      <c r="BJ30" cm="1">
        <f t="array" ref="BJ30">INDEX($X$25:$AQ$128, $BG30, BJ$27+1)</f>
        <v>0</v>
      </c>
      <c r="BK30" cm="1">
        <f t="array" ref="BK30">INDEX($X$25:$AQ$128, $BG30, BK$27+1)</f>
        <v>0</v>
      </c>
      <c r="BL30" cm="1">
        <f t="array" ref="BL30">INDEX($X$25:$AQ$128, $BG30, BL$27+1)</f>
        <v>0</v>
      </c>
      <c r="BM30" cm="1">
        <f t="array" ref="BM30">INDEX($X$25:$AQ$128, $BG30, BM$27+1)</f>
        <v>0</v>
      </c>
      <c r="BN30" cm="1">
        <f t="array" ref="BN30">INDEX($X$25:$AQ$128, $BG30, BN$27+1)</f>
        <v>0</v>
      </c>
      <c r="BP30" cm="1">
        <f t="array" ref="BP30">IFERROR(INDEX(BH$28:BH$48, $BG30+BH$53, 1), 0)</f>
        <v>0</v>
      </c>
      <c r="BQ30" cm="1">
        <f t="array" ref="BQ30">IFERROR(INDEX(BI$28:BI$48, $BG30+BI$53, 1), 0)</f>
        <v>7</v>
      </c>
      <c r="BR30" cm="1">
        <f t="array" ref="BR30">IFERROR(INDEX(BJ$28:BJ$48, $BG30+BJ$53, 1), 0)</f>
        <v>0</v>
      </c>
      <c r="BS30" cm="1">
        <f t="array" ref="BS30">IFERROR(INDEX(BK$28:BK$48, $BG30+BK$53, 1), 0)</f>
        <v>0</v>
      </c>
      <c r="BT30" cm="1">
        <f t="array" ref="BT30">IFERROR(INDEX(BL$28:BL$48, $BG30+BL$53, 1), 0)</f>
        <v>0</v>
      </c>
      <c r="BU30" cm="1">
        <f t="array" ref="BU30">IFERROR(INDEX(BM$28:BM$48, $BG30+BM$53, 1), 0)</f>
        <v>0</v>
      </c>
      <c r="BV30" cm="1">
        <f t="array" ref="BV30">IFERROR(INDEX(BN$28:BN$48, $BG30+BN$53, 1), 0)</f>
        <v>0</v>
      </c>
      <c r="BX30">
        <v>0</v>
      </c>
      <c r="BY30">
        <v>5.5</v>
      </c>
      <c r="CA30">
        <v>5</v>
      </c>
      <c r="CB30">
        <f t="shared" si="26"/>
        <v>0</v>
      </c>
    </row>
    <row r="31" spans="1:80" x14ac:dyDescent="0.3">
      <c r="A31" t="s">
        <v>69</v>
      </c>
      <c r="B31" t="s">
        <v>108</v>
      </c>
      <c r="C31" t="s">
        <v>110</v>
      </c>
      <c r="D31" t="s">
        <v>111</v>
      </c>
      <c r="E31">
        <v>14.6</v>
      </c>
      <c r="F31">
        <v>28.5</v>
      </c>
      <c r="H31">
        <f t="shared" si="5"/>
        <v>3</v>
      </c>
      <c r="I31">
        <v>7</v>
      </c>
      <c r="J31">
        <f t="shared" si="6"/>
        <v>19</v>
      </c>
      <c r="K31" t="str">
        <f t="shared" si="7"/>
        <v>FLEX</v>
      </c>
      <c r="L31" t="str">
        <f t="shared" si="8"/>
        <v>RB</v>
      </c>
      <c r="M31">
        <f t="shared" si="9"/>
        <v>13</v>
      </c>
      <c r="N31" t="str">
        <f t="shared" si="10"/>
        <v>NORB</v>
      </c>
      <c r="P31">
        <f t="shared" si="11"/>
        <v>13</v>
      </c>
      <c r="R31">
        <f t="shared" si="12"/>
        <v>19</v>
      </c>
      <c r="S31" t="str" cm="1">
        <f t="array" ref="S31">INDEX($A$25:$A$325, R31, 1)</f>
        <v>FLEX</v>
      </c>
      <c r="T31" t="str">
        <f t="shared" si="13"/>
        <v>RB</v>
      </c>
      <c r="U31" cm="1">
        <f t="array" ref="U31">INDEX($F$25:$F$325, R31, 1)</f>
        <v>13</v>
      </c>
      <c r="V31" t="str" cm="1">
        <f t="array" ref="V31">INDEX($B$25:$B$325, R31+2, 1)</f>
        <v>NORB</v>
      </c>
      <c r="X31">
        <f t="shared" si="3"/>
        <v>0</v>
      </c>
      <c r="Y31">
        <v>0</v>
      </c>
      <c r="Z31">
        <f t="shared" si="14"/>
        <v>13</v>
      </c>
      <c r="AA31">
        <v>0</v>
      </c>
      <c r="AB31">
        <f t="shared" si="15"/>
        <v>0</v>
      </c>
      <c r="AC31">
        <v>5.2</v>
      </c>
      <c r="AD31">
        <f t="shared" si="16"/>
        <v>0</v>
      </c>
      <c r="AE31">
        <v>0</v>
      </c>
      <c r="AF31">
        <f t="shared" si="17"/>
        <v>0</v>
      </c>
      <c r="AG31">
        <v>0</v>
      </c>
      <c r="AH31">
        <f t="shared" si="18"/>
        <v>0</v>
      </c>
      <c r="AI31">
        <v>0</v>
      </c>
      <c r="AJ31">
        <f t="shared" si="19"/>
        <v>0</v>
      </c>
      <c r="AK31">
        <v>0</v>
      </c>
      <c r="AL31">
        <f t="shared" si="20"/>
        <v>0</v>
      </c>
      <c r="AM31">
        <v>0</v>
      </c>
      <c r="AN31">
        <f t="shared" si="21"/>
        <v>0</v>
      </c>
      <c r="AO31">
        <v>0</v>
      </c>
      <c r="AP31">
        <f t="shared" si="22"/>
        <v>0</v>
      </c>
      <c r="AQ31">
        <v>0</v>
      </c>
      <c r="AS31">
        <v>2</v>
      </c>
      <c r="AT31" cm="1">
        <f t="array" ref="AT31">IF(AT$25&gt;=$AS31, INDEX($X26:$AQ26, 1, AT$29*2), 0)</f>
        <v>0</v>
      </c>
      <c r="AU31" cm="1">
        <f t="array" ref="AU31">IF(AU$25&gt;=$AS31, INDEX($X26:$AQ26, 1, AU$29*2), 0)</f>
        <v>16.399999999999999</v>
      </c>
      <c r="AV31" cm="1">
        <f t="array" ref="AV31">IF(AV$25&gt;=$AS31, INDEX($X26:$AQ26, 1, AV$29*2), 0)</f>
        <v>13.9</v>
      </c>
      <c r="AW31" cm="1">
        <f t="array" ref="AW31">IF(AW$25&gt;=$AS31, INDEX($X26:$AQ26, 1, AW$29*2), 0)</f>
        <v>0</v>
      </c>
      <c r="AX31" cm="1">
        <f t="array" ref="AX31">IF(AX$25&gt;=$AS31, INDEX($X26:$AQ26, 1, AX$29*2), 0)</f>
        <v>0</v>
      </c>
      <c r="AY31" cm="1">
        <f t="array" ref="AY31">IF(AY$25&gt;=$AS31, INDEX($X26:$AQ26, 1, AY$29*2), 0)</f>
        <v>0</v>
      </c>
      <c r="AZ31" cm="1">
        <f t="array" ref="AZ31">IF(AZ$25&gt;=$AS31, INDEX($X26:$AQ26, 1, AZ$29*2), 0)</f>
        <v>0</v>
      </c>
      <c r="BA31" cm="1">
        <f t="array" ref="BA31">IF(BA$25&gt;=$AS31, INDEX($X26:$AQ26, 1, BA$29*2), 0)</f>
        <v>0</v>
      </c>
      <c r="BB31" cm="1">
        <f t="array" ref="BB31">IF(BB$25&gt;=$AS31, INDEX($X26:$AQ26, 1, BB$29*2), 0)</f>
        <v>0</v>
      </c>
      <c r="BC31" cm="1">
        <f t="array" ref="BC31">IF(BC$25&gt;=$AS31, INDEX($X26:$AQ26, 1, BC$29*2), 0)</f>
        <v>0</v>
      </c>
      <c r="BE31" s="6"/>
      <c r="BG31">
        <v>4</v>
      </c>
      <c r="BH31" cm="1">
        <f t="array" ref="BH31">INDEX($X$25:$AQ$128, $BG31, BH$27+1)</f>
        <v>0</v>
      </c>
      <c r="BI31" cm="1">
        <f t="array" ref="BI31">INDEX($X$25:$AQ$128, $BG31, BI$27+1)</f>
        <v>7.1</v>
      </c>
      <c r="BJ31" cm="1">
        <f t="array" ref="BJ31">INDEX($X$25:$AQ$128, $BG31, BJ$27+1)</f>
        <v>0</v>
      </c>
      <c r="BK31" cm="1">
        <f t="array" ref="BK31">INDEX($X$25:$AQ$128, $BG31, BK$27+1)</f>
        <v>0</v>
      </c>
      <c r="BL31" cm="1">
        <f t="array" ref="BL31">INDEX($X$25:$AQ$128, $BG31, BL$27+1)</f>
        <v>0</v>
      </c>
      <c r="BM31" cm="1">
        <f t="array" ref="BM31">INDEX($X$25:$AQ$128, $BG31, BM$27+1)</f>
        <v>0</v>
      </c>
      <c r="BN31" cm="1">
        <f t="array" ref="BN31">INDEX($X$25:$AQ$128, $BG31, BN$27+1)</f>
        <v>0</v>
      </c>
      <c r="BP31" cm="1">
        <f t="array" ref="BP31">IFERROR(INDEX(BH$28:BH$48, $BG31+BH$53, 1), 0)</f>
        <v>0</v>
      </c>
      <c r="BQ31" cm="1">
        <f t="array" ref="BQ31">IFERROR(INDEX(BI$28:BI$48, $BG31+BI$53, 1), 0)</f>
        <v>5.5</v>
      </c>
      <c r="BR31" cm="1">
        <f t="array" ref="BR31">IFERROR(INDEX(BJ$28:BJ$48, $BG31+BJ$53, 1), 0)</f>
        <v>0</v>
      </c>
      <c r="BS31" cm="1">
        <f t="array" ref="BS31">IFERROR(INDEX(BK$28:BK$48, $BG31+BK$53, 1), 0)</f>
        <v>0</v>
      </c>
      <c r="BT31" cm="1">
        <f t="array" ref="BT31">IFERROR(INDEX(BL$28:BL$48, $BG31+BL$53, 1), 0)</f>
        <v>0</v>
      </c>
      <c r="BU31" cm="1">
        <f t="array" ref="BU31">IFERROR(INDEX(BM$28:BM$48, $BG31+BM$53, 1), 0)</f>
        <v>0</v>
      </c>
      <c r="BV31" cm="1">
        <f t="array" ref="BV31">IFERROR(INDEX(BN$28:BN$48, $BG31+BN$53, 1), 0)</f>
        <v>0</v>
      </c>
      <c r="BX31">
        <v>0</v>
      </c>
      <c r="BY31">
        <v>5.2</v>
      </c>
      <c r="CA31">
        <v>6</v>
      </c>
      <c r="CB31">
        <f t="shared" si="26"/>
        <v>0</v>
      </c>
    </row>
    <row r="32" spans="1:80" x14ac:dyDescent="0.3">
      <c r="B32" t="s">
        <v>77</v>
      </c>
      <c r="H32">
        <f t="shared" si="5"/>
        <v>0</v>
      </c>
      <c r="I32">
        <v>8</v>
      </c>
      <c r="J32">
        <f t="shared" si="6"/>
        <v>22</v>
      </c>
      <c r="K32" t="str">
        <f t="shared" si="7"/>
        <v>D/ST</v>
      </c>
      <c r="L32" t="str">
        <f t="shared" si="8"/>
        <v>D/ST</v>
      </c>
      <c r="M32">
        <f t="shared" si="9"/>
        <v>-5</v>
      </c>
      <c r="N32" t="str">
        <f t="shared" si="10"/>
        <v>DenD/ST</v>
      </c>
      <c r="P32">
        <f t="shared" si="11"/>
        <v>-5</v>
      </c>
      <c r="R32">
        <f t="shared" si="12"/>
        <v>22</v>
      </c>
      <c r="S32" t="str" cm="1">
        <f t="array" ref="S32">INDEX($A$25:$A$325, R32, 1)</f>
        <v>D/ST</v>
      </c>
      <c r="T32" t="str">
        <f t="shared" si="13"/>
        <v>D/ST</v>
      </c>
      <c r="U32" cm="1">
        <f t="array" ref="U32">INDEX($F$25:$F$325, R32, 1)</f>
        <v>-5</v>
      </c>
      <c r="V32" t="str" cm="1">
        <f t="array" ref="V32">INDEX($B$25:$B$325, R32+2, 1)</f>
        <v>DenD/ST</v>
      </c>
      <c r="X32">
        <f t="shared" si="3"/>
        <v>0</v>
      </c>
      <c r="Y32">
        <v>0</v>
      </c>
      <c r="Z32">
        <f t="shared" si="14"/>
        <v>0</v>
      </c>
      <c r="AA32">
        <v>0</v>
      </c>
      <c r="AB32">
        <f t="shared" si="15"/>
        <v>0</v>
      </c>
      <c r="AC32">
        <v>0</v>
      </c>
      <c r="AD32">
        <f t="shared" si="16"/>
        <v>0</v>
      </c>
      <c r="AE32">
        <v>0</v>
      </c>
      <c r="AF32">
        <f t="shared" si="17"/>
        <v>0</v>
      </c>
      <c r="AG32">
        <v>0</v>
      </c>
      <c r="AH32">
        <f t="shared" si="18"/>
        <v>-5</v>
      </c>
      <c r="AI32">
        <v>0</v>
      </c>
      <c r="AJ32">
        <f t="shared" si="19"/>
        <v>0</v>
      </c>
      <c r="AK32">
        <v>0</v>
      </c>
      <c r="AL32">
        <f t="shared" si="20"/>
        <v>0</v>
      </c>
      <c r="AM32">
        <v>0</v>
      </c>
      <c r="AN32">
        <f t="shared" si="21"/>
        <v>0</v>
      </c>
      <c r="AO32">
        <v>0</v>
      </c>
      <c r="AP32">
        <f t="shared" si="22"/>
        <v>0</v>
      </c>
      <c r="AQ32">
        <v>0</v>
      </c>
      <c r="AS32">
        <v>3</v>
      </c>
      <c r="AT32" cm="1">
        <f t="array" ref="AT32">IF(AT$25&gt;=$AS32, INDEX($X27:$AQ27, 1, AT$29*2), 0)</f>
        <v>0</v>
      </c>
      <c r="AU32" cm="1">
        <f t="array" ref="AU32">IF(AU$25&gt;=$AS32, INDEX($X27:$AQ27, 1, AU$29*2), 0)</f>
        <v>0</v>
      </c>
      <c r="AV32" cm="1">
        <f t="array" ref="AV32">IF(AV$25&gt;=$AS32, INDEX($X27:$AQ27, 1, AV$29*2), 0)</f>
        <v>0</v>
      </c>
      <c r="AW32" cm="1">
        <f t="array" ref="AW32">IF(AW$25&gt;=$AS32, INDEX($X27:$AQ27, 1, AW$29*2), 0)</f>
        <v>0</v>
      </c>
      <c r="AX32" cm="1">
        <f t="array" ref="AX32">IF(AX$25&gt;=$AS32, INDEX($X27:$AQ27, 1, AX$29*2), 0)</f>
        <v>0</v>
      </c>
      <c r="AY32" cm="1">
        <f t="array" ref="AY32">IF(AY$25&gt;=$AS32, INDEX($X27:$AQ27, 1, AY$29*2), 0)</f>
        <v>0</v>
      </c>
      <c r="AZ32" cm="1">
        <f t="array" ref="AZ32">IF(AZ$25&gt;=$AS32, INDEX($X27:$AQ27, 1, AZ$29*2), 0)</f>
        <v>0</v>
      </c>
      <c r="BA32" cm="1">
        <f t="array" ref="BA32">IF(BA$25&gt;=$AS32, INDEX($X27:$AQ27, 1, BA$29*2), 0)</f>
        <v>0</v>
      </c>
      <c r="BB32" cm="1">
        <f t="array" ref="BB32">IF(BB$25&gt;=$AS32, INDEX($X27:$AQ27, 1, BB$29*2), 0)</f>
        <v>0</v>
      </c>
      <c r="BC32" cm="1">
        <f t="array" ref="BC32">IF(BC$25&gt;=$AS32, INDEX($X27:$AQ27, 1, BC$29*2), 0)</f>
        <v>0</v>
      </c>
      <c r="BE32" s="6"/>
      <c r="BG32">
        <v>5</v>
      </c>
      <c r="BH32" cm="1">
        <f t="array" ref="BH32">INDEX($X$25:$AQ$128, $BG32, BH$27+1)</f>
        <v>0</v>
      </c>
      <c r="BI32" cm="1">
        <f t="array" ref="BI32">INDEX($X$25:$AQ$128, $BG32, BI$27+1)</f>
        <v>7</v>
      </c>
      <c r="BJ32" cm="1">
        <f t="array" ref="BJ32">INDEX($X$25:$AQ$128, $BG32, BJ$27+1)</f>
        <v>0</v>
      </c>
      <c r="BK32" cm="1">
        <f t="array" ref="BK32">INDEX($X$25:$AQ$128, $BG32, BK$27+1)</f>
        <v>0</v>
      </c>
      <c r="BL32" cm="1">
        <f t="array" ref="BL32">INDEX($X$25:$AQ$128, $BG32, BL$27+1)</f>
        <v>0</v>
      </c>
      <c r="BM32" cm="1">
        <f t="array" ref="BM32">INDEX($X$25:$AQ$128, $BG32, BM$27+1)</f>
        <v>0</v>
      </c>
      <c r="BN32" cm="1">
        <f t="array" ref="BN32">INDEX($X$25:$AQ$128, $BG32, BN$27+1)</f>
        <v>0</v>
      </c>
      <c r="BP32" cm="1">
        <f t="array" ref="BP32">IFERROR(INDEX(BH$28:BH$48, $BG32+BH$53, 1), 0)</f>
        <v>0</v>
      </c>
      <c r="BQ32" cm="1">
        <f t="array" ref="BQ32">IFERROR(INDEX(BI$28:BI$48, $BG32+BI$53, 1), 0)</f>
        <v>5.2</v>
      </c>
      <c r="BR32" cm="1">
        <f t="array" ref="BR32">IFERROR(INDEX(BJ$28:BJ$48, $BG32+BJ$53, 1), 0)</f>
        <v>0</v>
      </c>
      <c r="BS32" cm="1">
        <f t="array" ref="BS32">IFERROR(INDEX(BK$28:BK$48, $BG32+BK$53, 1), 0)</f>
        <v>0</v>
      </c>
      <c r="BT32" cm="1">
        <f t="array" ref="BT32">IFERROR(INDEX(BL$28:BL$48, $BG32+BL$53, 1), 0)</f>
        <v>0</v>
      </c>
      <c r="BU32" cm="1">
        <f t="array" ref="BU32">IFERROR(INDEX(BM$28:BM$48, $BG32+BM$53, 1), 0)</f>
        <v>0</v>
      </c>
      <c r="BV32" cm="1">
        <f t="array" ref="BV32">IFERROR(INDEX(BN$28:BN$48, $BG32+BN$53, 1), 0)</f>
        <v>0</v>
      </c>
      <c r="BX32">
        <v>0</v>
      </c>
      <c r="BY32">
        <v>0</v>
      </c>
      <c r="CA32">
        <v>7</v>
      </c>
      <c r="CB32">
        <f t="shared" si="26"/>
        <v>0</v>
      </c>
    </row>
    <row r="33" spans="1:80" x14ac:dyDescent="0.3">
      <c r="B33" t="s">
        <v>109</v>
      </c>
      <c r="H33">
        <f t="shared" si="5"/>
        <v>0</v>
      </c>
      <c r="I33">
        <v>9</v>
      </c>
      <c r="J33">
        <f t="shared" si="6"/>
        <v>25</v>
      </c>
      <c r="K33" t="str">
        <f t="shared" si="7"/>
        <v>K</v>
      </c>
      <c r="L33" t="str">
        <f t="shared" si="8"/>
        <v>K</v>
      </c>
      <c r="M33">
        <f t="shared" si="9"/>
        <v>6</v>
      </c>
      <c r="N33" t="str">
        <f t="shared" si="10"/>
        <v>KCK</v>
      </c>
      <c r="P33">
        <f t="shared" si="11"/>
        <v>6</v>
      </c>
      <c r="R33">
        <f t="shared" si="12"/>
        <v>25</v>
      </c>
      <c r="S33" t="str" cm="1">
        <f t="array" ref="S33">INDEX($A$25:$A$325, R33, 1)</f>
        <v>K</v>
      </c>
      <c r="T33" t="str">
        <f t="shared" si="13"/>
        <v>K</v>
      </c>
      <c r="U33" cm="1">
        <f t="array" ref="U33">INDEX($F$25:$F$325, R33, 1)</f>
        <v>6</v>
      </c>
      <c r="V33" t="str" cm="1">
        <f t="array" ref="V33">INDEX($B$25:$B$325, R33+2, 1)</f>
        <v>KCK</v>
      </c>
      <c r="X33">
        <f t="shared" si="3"/>
        <v>0</v>
      </c>
      <c r="Y33">
        <v>0</v>
      </c>
      <c r="Z33">
        <f t="shared" si="14"/>
        <v>0</v>
      </c>
      <c r="AA33">
        <v>0</v>
      </c>
      <c r="AB33">
        <f t="shared" si="15"/>
        <v>0</v>
      </c>
      <c r="AC33">
        <v>0</v>
      </c>
      <c r="AD33">
        <f t="shared" si="16"/>
        <v>0</v>
      </c>
      <c r="AE33">
        <v>0</v>
      </c>
      <c r="AF33">
        <f t="shared" si="17"/>
        <v>6</v>
      </c>
      <c r="AG33">
        <v>0</v>
      </c>
      <c r="AH33">
        <f t="shared" si="18"/>
        <v>0</v>
      </c>
      <c r="AI33">
        <v>0</v>
      </c>
      <c r="AJ33">
        <f t="shared" si="19"/>
        <v>0</v>
      </c>
      <c r="AK33">
        <v>0</v>
      </c>
      <c r="AL33">
        <f t="shared" si="20"/>
        <v>0</v>
      </c>
      <c r="AM33">
        <v>0</v>
      </c>
      <c r="AN33">
        <f t="shared" si="21"/>
        <v>0</v>
      </c>
      <c r="AO33">
        <v>0</v>
      </c>
      <c r="AP33">
        <f t="shared" si="22"/>
        <v>0</v>
      </c>
      <c r="AQ33">
        <v>0</v>
      </c>
      <c r="AS33">
        <v>4</v>
      </c>
      <c r="AT33" cm="1">
        <f t="array" ref="AT33">IF(AT$25&gt;=$AS33, INDEX($X28:$AQ28, 1, AT$29*2), 0)</f>
        <v>0</v>
      </c>
      <c r="AU33" cm="1">
        <f t="array" ref="AU33">IF(AU$25&gt;=$AS33, INDEX($X28:$AQ28, 1, AU$29*2), 0)</f>
        <v>0</v>
      </c>
      <c r="AV33" cm="1">
        <f t="array" ref="AV33">IF(AV$25&gt;=$AS33, INDEX($X28:$AQ28, 1, AV$29*2), 0)</f>
        <v>0</v>
      </c>
      <c r="AW33" cm="1">
        <f t="array" ref="AW33">IF(AW$25&gt;=$AS33, INDEX($X28:$AQ28, 1, AW$29*2), 0)</f>
        <v>0</v>
      </c>
      <c r="AX33" cm="1">
        <f t="array" ref="AX33">IF(AX$25&gt;=$AS33, INDEX($X28:$AQ28, 1, AX$29*2), 0)</f>
        <v>0</v>
      </c>
      <c r="AY33" cm="1">
        <f t="array" ref="AY33">IF(AY$25&gt;=$AS33, INDEX($X28:$AQ28, 1, AY$29*2), 0)</f>
        <v>0</v>
      </c>
      <c r="AZ33" cm="1">
        <f t="array" ref="AZ33">IF(AZ$25&gt;=$AS33, INDEX($X28:$AQ28, 1, AZ$29*2), 0)</f>
        <v>0</v>
      </c>
      <c r="BA33" cm="1">
        <f t="array" ref="BA33">IF(BA$25&gt;=$AS33, INDEX($X28:$AQ28, 1, BA$29*2), 0)</f>
        <v>0</v>
      </c>
      <c r="BB33" cm="1">
        <f t="array" ref="BB33">IF(BB$25&gt;=$AS33, INDEX($X28:$AQ28, 1, BB$29*2), 0)</f>
        <v>0</v>
      </c>
      <c r="BC33" cm="1">
        <f t="array" ref="BC33">IF(BC$25&gt;=$AS33, INDEX($X28:$AQ28, 1, BC$29*2), 0)</f>
        <v>0</v>
      </c>
      <c r="BE33" s="6"/>
      <c r="BG33">
        <v>6</v>
      </c>
      <c r="BH33" cm="1">
        <f t="array" ref="BH33">INDEX($X$25:$AQ$128, $BG33, BH$27+1)</f>
        <v>0</v>
      </c>
      <c r="BI33" cm="1">
        <f t="array" ref="BI33">INDEX($X$25:$AQ$128, $BG33, BI$27+1)</f>
        <v>5.5</v>
      </c>
      <c r="BJ33" cm="1">
        <f t="array" ref="BJ33">INDEX($X$25:$AQ$128, $BG33, BJ$27+1)</f>
        <v>0</v>
      </c>
      <c r="BK33" cm="1">
        <f t="array" ref="BK33">INDEX($X$25:$AQ$128, $BG33, BK$27+1)</f>
        <v>0</v>
      </c>
      <c r="BL33" cm="1">
        <f t="array" ref="BL33">INDEX($X$25:$AQ$128, $BG33, BL$27+1)</f>
        <v>0</v>
      </c>
      <c r="BM33" cm="1">
        <f t="array" ref="BM33">INDEX($X$25:$AQ$128, $BG33, BM$27+1)</f>
        <v>0</v>
      </c>
      <c r="BN33" cm="1">
        <f t="array" ref="BN33">INDEX($X$25:$AQ$128, $BG33, BN$27+1)</f>
        <v>0</v>
      </c>
      <c r="BP33" cm="1">
        <f t="array" ref="BP33">IFERROR(INDEX(BH$28:BH$48, $BG33+BH$53, 1), 0)</f>
        <v>0</v>
      </c>
      <c r="BQ33" cm="1">
        <f t="array" ref="BQ33">IFERROR(INDEX(BI$28:BI$48, $BG33+BI$53, 1), 0)</f>
        <v>0</v>
      </c>
      <c r="BR33" cm="1">
        <f t="array" ref="BR33">IFERROR(INDEX(BJ$28:BJ$48, $BG33+BJ$53, 1), 0)</f>
        <v>0</v>
      </c>
      <c r="BS33" cm="1">
        <f t="array" ref="BS33">IFERROR(INDEX(BK$28:BK$48, $BG33+BK$53, 1), 0)</f>
        <v>0</v>
      </c>
      <c r="BT33" cm="1">
        <f t="array" ref="BT33">IFERROR(INDEX(BL$28:BL$48, $BG33+BL$53, 1), 0)</f>
        <v>0</v>
      </c>
      <c r="BU33" cm="1">
        <f t="array" ref="BU33">IFERROR(INDEX(BM$28:BM$48, $BG33+BM$53, 1), 0)</f>
        <v>0</v>
      </c>
      <c r="BV33" cm="1">
        <f t="array" ref="BV33">IFERROR(INDEX(BN$28:BN$48, $BG33+BN$53, 1), 0)</f>
        <v>0</v>
      </c>
      <c r="BX33">
        <v>0</v>
      </c>
      <c r="BY33">
        <v>0</v>
      </c>
      <c r="CA33">
        <v>8</v>
      </c>
      <c r="CB33">
        <f t="shared" si="26"/>
        <v>0</v>
      </c>
    </row>
    <row r="34" spans="1:80" x14ac:dyDescent="0.3">
      <c r="A34" t="s">
        <v>70</v>
      </c>
      <c r="B34" t="s">
        <v>112</v>
      </c>
      <c r="C34" t="s">
        <v>114</v>
      </c>
      <c r="D34" t="s">
        <v>115</v>
      </c>
      <c r="E34">
        <v>11.6</v>
      </c>
      <c r="F34">
        <v>13.9</v>
      </c>
      <c r="H34">
        <f t="shared" si="5"/>
        <v>4</v>
      </c>
      <c r="I34">
        <v>10</v>
      </c>
      <c r="J34">
        <f t="shared" si="6"/>
        <v>29</v>
      </c>
      <c r="K34" t="str">
        <f t="shared" si="7"/>
        <v>Bench</v>
      </c>
      <c r="L34" t="str">
        <f t="shared" si="8"/>
        <v>WR</v>
      </c>
      <c r="M34">
        <f t="shared" si="9"/>
        <v>7.1</v>
      </c>
      <c r="N34" t="str">
        <f t="shared" si="10"/>
        <v>ChiWR</v>
      </c>
      <c r="P34">
        <f t="shared" si="11"/>
        <v>0</v>
      </c>
      <c r="R34">
        <f t="shared" si="12"/>
        <v>29</v>
      </c>
      <c r="S34" t="str" cm="1">
        <f t="array" ref="S34">INDEX($A$25:$A$325, R34, 1)</f>
        <v>Bench</v>
      </c>
      <c r="T34" t="str">
        <f t="shared" si="13"/>
        <v>WR</v>
      </c>
      <c r="U34" cm="1">
        <f t="array" ref="U34">INDEX($F$25:$F$325, R34, 1)</f>
        <v>7.1</v>
      </c>
      <c r="V34" t="str" cm="1">
        <f t="array" ref="V34">INDEX($B$25:$B$325, R34+2, 1)</f>
        <v>ChiWR</v>
      </c>
      <c r="X34">
        <f t="shared" si="3"/>
        <v>0</v>
      </c>
      <c r="Y34">
        <v>0</v>
      </c>
      <c r="Z34">
        <f t="shared" si="14"/>
        <v>0</v>
      </c>
      <c r="AA34">
        <v>0</v>
      </c>
      <c r="AB34">
        <f t="shared" si="15"/>
        <v>7.1</v>
      </c>
      <c r="AC34">
        <v>0</v>
      </c>
      <c r="AD34">
        <f t="shared" si="16"/>
        <v>0</v>
      </c>
      <c r="AE34">
        <v>0</v>
      </c>
      <c r="AF34">
        <f t="shared" si="17"/>
        <v>0</v>
      </c>
      <c r="AG34">
        <v>0</v>
      </c>
      <c r="AH34">
        <f t="shared" si="18"/>
        <v>0</v>
      </c>
      <c r="AI34">
        <v>0</v>
      </c>
      <c r="AJ34">
        <f t="shared" si="19"/>
        <v>0</v>
      </c>
      <c r="AK34">
        <v>0</v>
      </c>
      <c r="AL34">
        <f t="shared" si="20"/>
        <v>0</v>
      </c>
      <c r="AM34">
        <v>0</v>
      </c>
      <c r="AN34">
        <f t="shared" si="21"/>
        <v>0</v>
      </c>
      <c r="AO34">
        <v>0</v>
      </c>
      <c r="AP34">
        <f t="shared" si="22"/>
        <v>0</v>
      </c>
      <c r="AQ34">
        <v>0</v>
      </c>
      <c r="AS34">
        <v>5</v>
      </c>
      <c r="AT34" cm="1">
        <f t="array" ref="AT34">IF(AT$25&gt;=$AS34, INDEX($X29:$AQ29, 1, AT$29*2), 0)</f>
        <v>0</v>
      </c>
      <c r="AU34" cm="1">
        <f t="array" ref="AU34">IF(AU$25&gt;=$AS34, INDEX($X29:$AQ29, 1, AU$29*2), 0)</f>
        <v>0</v>
      </c>
      <c r="AV34" cm="1">
        <f t="array" ref="AV34">IF(AV$25&gt;=$AS34, INDEX($X29:$AQ29, 1, AV$29*2), 0)</f>
        <v>0</v>
      </c>
      <c r="AW34" cm="1">
        <f t="array" ref="AW34">IF(AW$25&gt;=$AS34, INDEX($X29:$AQ29, 1, AW$29*2), 0)</f>
        <v>0</v>
      </c>
      <c r="AX34" cm="1">
        <f t="array" ref="AX34">IF(AX$25&gt;=$AS34, INDEX($X29:$AQ29, 1, AX$29*2), 0)</f>
        <v>0</v>
      </c>
      <c r="AY34" cm="1">
        <f t="array" ref="AY34">IF(AY$25&gt;=$AS34, INDEX($X29:$AQ29, 1, AY$29*2), 0)</f>
        <v>0</v>
      </c>
      <c r="AZ34" cm="1">
        <f t="array" ref="AZ34">IF(AZ$25&gt;=$AS34, INDEX($X29:$AQ29, 1, AZ$29*2), 0)</f>
        <v>0</v>
      </c>
      <c r="BA34" cm="1">
        <f t="array" ref="BA34">IF(BA$25&gt;=$AS34, INDEX($X29:$AQ29, 1, BA$29*2), 0)</f>
        <v>0</v>
      </c>
      <c r="BB34" cm="1">
        <f t="array" ref="BB34">IF(BB$25&gt;=$AS34, INDEX($X29:$AQ29, 1, BB$29*2), 0)</f>
        <v>0</v>
      </c>
      <c r="BC34" cm="1">
        <f t="array" ref="BC34">IF(BC$25&gt;=$AS34, INDEX($X29:$AQ29, 1, BC$29*2), 0)</f>
        <v>0</v>
      </c>
      <c r="BE34" s="6"/>
      <c r="BG34">
        <v>7</v>
      </c>
      <c r="BH34" cm="1">
        <f t="array" ref="BH34">INDEX($X$25:$AQ$128, $BG34, BH$27+1)</f>
        <v>0</v>
      </c>
      <c r="BI34" cm="1">
        <f t="array" ref="BI34">INDEX($X$25:$AQ$128, $BG34, BI$27+1)</f>
        <v>5.2</v>
      </c>
      <c r="BJ34" cm="1">
        <f t="array" ref="BJ34">INDEX($X$25:$AQ$128, $BG34, BJ$27+1)</f>
        <v>0</v>
      </c>
      <c r="BK34" cm="1">
        <f t="array" ref="BK34">INDEX($X$25:$AQ$128, $BG34, BK$27+1)</f>
        <v>0</v>
      </c>
      <c r="BL34" cm="1">
        <f t="array" ref="BL34">INDEX($X$25:$AQ$128, $BG34, BL$27+1)</f>
        <v>0</v>
      </c>
      <c r="BM34" cm="1">
        <f t="array" ref="BM34">INDEX($X$25:$AQ$128, $BG34, BM$27+1)</f>
        <v>0</v>
      </c>
      <c r="BN34" cm="1">
        <f t="array" ref="BN34">INDEX($X$25:$AQ$128, $BG34, BN$27+1)</f>
        <v>0</v>
      </c>
      <c r="BP34" cm="1">
        <f t="array" ref="BP34">IFERROR(INDEX(BH$28:BH$48, $BG34+BH$53, 1), 0)</f>
        <v>0</v>
      </c>
      <c r="BQ34" cm="1">
        <f t="array" ref="BQ34">IFERROR(INDEX(BI$28:BI$48, $BG34+BI$53, 1), 0)</f>
        <v>0</v>
      </c>
      <c r="BR34" cm="1">
        <f t="array" ref="BR34">IFERROR(INDEX(BJ$28:BJ$48, $BG34+BJ$53, 1), 0)</f>
        <v>0</v>
      </c>
      <c r="BS34" cm="1">
        <f t="array" ref="BS34">IFERROR(INDEX(BK$28:BK$48, $BG34+BK$53, 1), 0)</f>
        <v>0</v>
      </c>
      <c r="BT34" cm="1">
        <f t="array" ref="BT34">IFERROR(INDEX(BL$28:BL$48, $BG34+BL$53, 1), 0)</f>
        <v>0</v>
      </c>
      <c r="BU34" cm="1">
        <f t="array" ref="BU34">IFERROR(INDEX(BM$28:BM$48, $BG34+BM$53, 1), 0)</f>
        <v>0</v>
      </c>
      <c r="BV34" cm="1">
        <f t="array" ref="BV34">IFERROR(INDEX(BN$28:BN$48, $BG34+BN$53, 1), 0)</f>
        <v>0</v>
      </c>
      <c r="BX34">
        <v>7.1</v>
      </c>
      <c r="BY34">
        <v>0</v>
      </c>
      <c r="CA34">
        <v>9</v>
      </c>
      <c r="CB34">
        <f t="shared" si="26"/>
        <v>0</v>
      </c>
    </row>
    <row r="35" spans="1:80" x14ac:dyDescent="0.3">
      <c r="B35" t="s">
        <v>78</v>
      </c>
      <c r="H35">
        <f t="shared" si="5"/>
        <v>0</v>
      </c>
      <c r="I35">
        <v>11</v>
      </c>
      <c r="J35">
        <f t="shared" si="6"/>
        <v>32</v>
      </c>
      <c r="K35" t="str">
        <f t="shared" si="7"/>
        <v>Bench</v>
      </c>
      <c r="L35" t="str">
        <f t="shared" si="8"/>
        <v>WR</v>
      </c>
      <c r="M35">
        <f t="shared" si="9"/>
        <v>8.4</v>
      </c>
      <c r="N35" t="str">
        <f t="shared" si="10"/>
        <v>NOWR</v>
      </c>
      <c r="P35">
        <f t="shared" si="11"/>
        <v>0</v>
      </c>
      <c r="R35">
        <f t="shared" si="12"/>
        <v>32</v>
      </c>
      <c r="S35" t="str" cm="1">
        <f t="array" ref="S35">INDEX($A$25:$A$325, R35, 1)</f>
        <v>Bench</v>
      </c>
      <c r="T35" t="str">
        <f t="shared" si="13"/>
        <v>WR</v>
      </c>
      <c r="U35" cm="1">
        <f t="array" ref="U35">INDEX($F$25:$F$325, R35, 1)</f>
        <v>8.4</v>
      </c>
      <c r="V35" t="str" cm="1">
        <f t="array" ref="V35">INDEX($B$25:$B$325, R35+2, 1)</f>
        <v>NOWR</v>
      </c>
      <c r="X35">
        <f t="shared" si="3"/>
        <v>0</v>
      </c>
      <c r="Y35">
        <v>0</v>
      </c>
      <c r="Z35">
        <f t="shared" si="14"/>
        <v>0</v>
      </c>
      <c r="AA35">
        <v>0</v>
      </c>
      <c r="AB35">
        <f t="shared" si="15"/>
        <v>8.4</v>
      </c>
      <c r="AC35">
        <v>0</v>
      </c>
      <c r="AD35">
        <f t="shared" si="16"/>
        <v>0</v>
      </c>
      <c r="AE35">
        <v>0</v>
      </c>
      <c r="AF35">
        <f t="shared" si="17"/>
        <v>0</v>
      </c>
      <c r="AG35">
        <v>0</v>
      </c>
      <c r="AH35">
        <f t="shared" si="18"/>
        <v>0</v>
      </c>
      <c r="AI35">
        <v>0</v>
      </c>
      <c r="AJ35">
        <f t="shared" si="19"/>
        <v>0</v>
      </c>
      <c r="AK35">
        <v>0</v>
      </c>
      <c r="AL35">
        <f t="shared" si="20"/>
        <v>0</v>
      </c>
      <c r="AM35">
        <v>0</v>
      </c>
      <c r="AN35">
        <f t="shared" si="21"/>
        <v>0</v>
      </c>
      <c r="AO35">
        <v>0</v>
      </c>
      <c r="AP35">
        <f t="shared" si="22"/>
        <v>0</v>
      </c>
      <c r="AQ35">
        <v>0</v>
      </c>
      <c r="AS35">
        <v>6</v>
      </c>
      <c r="AT35" cm="1">
        <f t="array" ref="AT35">IF(AT$25&gt;=$AS35, INDEX($X30:$AQ30, 1, AT$29*2), 0)</f>
        <v>0</v>
      </c>
      <c r="AU35" cm="1">
        <f t="array" ref="AU35">IF(AU$25&gt;=$AS35, INDEX($X30:$AQ30, 1, AU$29*2), 0)</f>
        <v>0</v>
      </c>
      <c r="AV35" cm="1">
        <f t="array" ref="AV35">IF(AV$25&gt;=$AS35, INDEX($X30:$AQ30, 1, AV$29*2), 0)</f>
        <v>0</v>
      </c>
      <c r="AW35" cm="1">
        <f t="array" ref="AW35">IF(AW$25&gt;=$AS35, INDEX($X30:$AQ30, 1, AW$29*2), 0)</f>
        <v>0</v>
      </c>
      <c r="AX35" cm="1">
        <f t="array" ref="AX35">IF(AX$25&gt;=$AS35, INDEX($X30:$AQ30, 1, AX$29*2), 0)</f>
        <v>0</v>
      </c>
      <c r="AY35" cm="1">
        <f t="array" ref="AY35">IF(AY$25&gt;=$AS35, INDEX($X30:$AQ30, 1, AY$29*2), 0)</f>
        <v>0</v>
      </c>
      <c r="AZ35" cm="1">
        <f t="array" ref="AZ35">IF(AZ$25&gt;=$AS35, INDEX($X30:$AQ30, 1, AZ$29*2), 0)</f>
        <v>0</v>
      </c>
      <c r="BA35" cm="1">
        <f t="array" ref="BA35">IF(BA$25&gt;=$AS35, INDEX($X30:$AQ30, 1, BA$29*2), 0)</f>
        <v>0</v>
      </c>
      <c r="BB35" cm="1">
        <f t="array" ref="BB35">IF(BB$25&gt;=$AS35, INDEX($X30:$AQ30, 1, BB$29*2), 0)</f>
        <v>0</v>
      </c>
      <c r="BC35" cm="1">
        <f t="array" ref="BC35">IF(BC$25&gt;=$AS35, INDEX($X30:$AQ30, 1, BC$29*2), 0)</f>
        <v>0</v>
      </c>
      <c r="BE35" s="6"/>
      <c r="BG35">
        <v>8</v>
      </c>
      <c r="BH35" cm="1">
        <f t="array" ref="BH35">INDEX($X$25:$AQ$128, $BG35, BH$27+1)</f>
        <v>0</v>
      </c>
      <c r="BI35" cm="1">
        <f t="array" ref="BI35">INDEX($X$25:$AQ$128, $BG35, BI$27+1)</f>
        <v>0</v>
      </c>
      <c r="BJ35" cm="1">
        <f t="array" ref="BJ35">INDEX($X$25:$AQ$128, $BG35, BJ$27+1)</f>
        <v>0</v>
      </c>
      <c r="BK35" cm="1">
        <f t="array" ref="BK35">INDEX($X$25:$AQ$128, $BG35, BK$27+1)</f>
        <v>0</v>
      </c>
      <c r="BL35" cm="1">
        <f t="array" ref="BL35">INDEX($X$25:$AQ$128, $BG35, BL$27+1)</f>
        <v>0</v>
      </c>
      <c r="BM35" cm="1">
        <f t="array" ref="BM35">INDEX($X$25:$AQ$128, $BG35, BM$27+1)</f>
        <v>0</v>
      </c>
      <c r="BN35" cm="1">
        <f t="array" ref="BN35">INDEX($X$25:$AQ$128, $BG35, BN$27+1)</f>
        <v>0</v>
      </c>
      <c r="BP35" cm="1">
        <f t="array" ref="BP35">IFERROR(INDEX(BH$28:BH$48, $BG35+BH$53, 1), 0)</f>
        <v>0</v>
      </c>
      <c r="BQ35" cm="1">
        <f t="array" ref="BQ35">IFERROR(INDEX(BI$28:BI$48, $BG35+BI$53, 1), 0)</f>
        <v>0</v>
      </c>
      <c r="BR35" cm="1">
        <f t="array" ref="BR35">IFERROR(INDEX(BJ$28:BJ$48, $BG35+BJ$53, 1), 0)</f>
        <v>0</v>
      </c>
      <c r="BS35" cm="1">
        <f t="array" ref="BS35">IFERROR(INDEX(BK$28:BK$48, $BG35+BK$53, 1), 0)</f>
        <v>0</v>
      </c>
      <c r="BT35" cm="1">
        <f t="array" ref="BT35">IFERROR(INDEX(BL$28:BL$48, $BG35+BL$53, 1), 0)</f>
        <v>0</v>
      </c>
      <c r="BU35" cm="1">
        <f t="array" ref="BU35">IFERROR(INDEX(BM$28:BM$48, $BG35+BM$53, 1), 0)</f>
        <v>0</v>
      </c>
      <c r="BV35" cm="1">
        <f t="array" ref="BV35">IFERROR(INDEX(BN$28:BN$48, $BG35+BN$53, 1), 0)</f>
        <v>0</v>
      </c>
      <c r="BX35">
        <v>0</v>
      </c>
      <c r="BY35">
        <v>0</v>
      </c>
      <c r="CA35">
        <v>10</v>
      </c>
      <c r="CB35">
        <f t="shared" si="26"/>
        <v>0</v>
      </c>
    </row>
    <row r="36" spans="1:80" x14ac:dyDescent="0.3">
      <c r="B36" t="s">
        <v>113</v>
      </c>
      <c r="H36">
        <f t="shared" si="5"/>
        <v>0</v>
      </c>
      <c r="I36">
        <v>12</v>
      </c>
      <c r="J36">
        <f t="shared" si="6"/>
        <v>35</v>
      </c>
      <c r="K36" t="str">
        <f t="shared" si="7"/>
        <v>Bench</v>
      </c>
      <c r="L36" t="str">
        <f t="shared" si="8"/>
        <v>WR</v>
      </c>
      <c r="M36">
        <f t="shared" si="9"/>
        <v>5.2</v>
      </c>
      <c r="N36" t="str">
        <f t="shared" si="10"/>
        <v>NEWR</v>
      </c>
      <c r="P36">
        <f t="shared" si="11"/>
        <v>0</v>
      </c>
      <c r="R36">
        <f t="shared" si="12"/>
        <v>35</v>
      </c>
      <c r="S36" t="str" cm="1">
        <f t="array" ref="S36">INDEX($A$25:$A$325, R36, 1)</f>
        <v>Bench</v>
      </c>
      <c r="T36" t="str">
        <f t="shared" si="13"/>
        <v>WR</v>
      </c>
      <c r="U36" cm="1">
        <f t="array" ref="U36">INDEX($F$25:$F$325, R36, 1)</f>
        <v>5.2</v>
      </c>
      <c r="V36" t="str" cm="1">
        <f t="array" ref="V36">INDEX($B$25:$B$325, R36+2, 1)</f>
        <v>NEWR</v>
      </c>
      <c r="X36">
        <f t="shared" si="3"/>
        <v>0</v>
      </c>
      <c r="Y36">
        <v>0</v>
      </c>
      <c r="Z36">
        <f t="shared" si="14"/>
        <v>0</v>
      </c>
      <c r="AA36">
        <v>0</v>
      </c>
      <c r="AB36">
        <f t="shared" si="15"/>
        <v>5.2</v>
      </c>
      <c r="AC36">
        <v>0</v>
      </c>
      <c r="AD36">
        <f t="shared" si="16"/>
        <v>0</v>
      </c>
      <c r="AE36">
        <v>0</v>
      </c>
      <c r="AF36">
        <f t="shared" si="17"/>
        <v>0</v>
      </c>
      <c r="AG36">
        <v>0</v>
      </c>
      <c r="AH36">
        <f t="shared" si="18"/>
        <v>0</v>
      </c>
      <c r="AI36">
        <v>0</v>
      </c>
      <c r="AJ36">
        <f t="shared" si="19"/>
        <v>0</v>
      </c>
      <c r="AK36">
        <v>0</v>
      </c>
      <c r="AL36">
        <f t="shared" si="20"/>
        <v>0</v>
      </c>
      <c r="AM36">
        <v>0</v>
      </c>
      <c r="AN36">
        <f t="shared" si="21"/>
        <v>0</v>
      </c>
      <c r="AO36">
        <v>0</v>
      </c>
      <c r="AP36">
        <f t="shared" si="22"/>
        <v>0</v>
      </c>
      <c r="AQ36">
        <v>0</v>
      </c>
      <c r="AS36">
        <v>7</v>
      </c>
      <c r="AT36" cm="1">
        <f t="array" ref="AT36">IF(AT$25&gt;=$AS36, INDEX($X31:$AQ31, 1, AT$29*2), 0)</f>
        <v>0</v>
      </c>
      <c r="AU36" cm="1">
        <f t="array" ref="AU36">IF(AU$25&gt;=$AS36, INDEX($X31:$AQ31, 1, AU$29*2), 0)</f>
        <v>0</v>
      </c>
      <c r="AV36" cm="1">
        <f t="array" ref="AV36">IF(AV$25&gt;=$AS36, INDEX($X31:$AQ31, 1, AV$29*2), 0)</f>
        <v>0</v>
      </c>
      <c r="AW36" cm="1">
        <f t="array" ref="AW36">IF(AW$25&gt;=$AS36, INDEX($X31:$AQ31, 1, AW$29*2), 0)</f>
        <v>0</v>
      </c>
      <c r="AX36" cm="1">
        <f t="array" ref="AX36">IF(AX$25&gt;=$AS36, INDEX($X31:$AQ31, 1, AX$29*2), 0)</f>
        <v>0</v>
      </c>
      <c r="AY36" cm="1">
        <f t="array" ref="AY36">IF(AY$25&gt;=$AS36, INDEX($X31:$AQ31, 1, AY$29*2), 0)</f>
        <v>0</v>
      </c>
      <c r="AZ36" cm="1">
        <f t="array" ref="AZ36">IF(AZ$25&gt;=$AS36, INDEX($X31:$AQ31, 1, AZ$29*2), 0)</f>
        <v>0</v>
      </c>
      <c r="BA36" cm="1">
        <f t="array" ref="BA36">IF(BA$25&gt;=$AS36, INDEX($X31:$AQ31, 1, BA$29*2), 0)</f>
        <v>0</v>
      </c>
      <c r="BB36" cm="1">
        <f t="array" ref="BB36">IF(BB$25&gt;=$AS36, INDEX($X31:$AQ31, 1, BB$29*2), 0)</f>
        <v>0</v>
      </c>
      <c r="BC36" cm="1">
        <f t="array" ref="BC36">IF(BC$25&gt;=$AS36, INDEX($X31:$AQ31, 1, BC$29*2), 0)</f>
        <v>0</v>
      </c>
      <c r="BE36" s="6"/>
      <c r="BG36">
        <v>9</v>
      </c>
      <c r="BH36" cm="1">
        <f t="array" ref="BH36">INDEX($X$25:$AQ$128, $BG36, BH$27+1)</f>
        <v>0</v>
      </c>
      <c r="BI36" cm="1">
        <f t="array" ref="BI36">INDEX($X$25:$AQ$128, $BG36, BI$27+1)</f>
        <v>0</v>
      </c>
      <c r="BJ36" cm="1">
        <f t="array" ref="BJ36">INDEX($X$25:$AQ$128, $BG36, BJ$27+1)</f>
        <v>0</v>
      </c>
      <c r="BK36" cm="1">
        <f t="array" ref="BK36">INDEX($X$25:$AQ$128, $BG36, BK$27+1)</f>
        <v>0</v>
      </c>
      <c r="BL36" cm="1">
        <f t="array" ref="BL36">INDEX($X$25:$AQ$128, $BG36, BL$27+1)</f>
        <v>0</v>
      </c>
      <c r="BM36" cm="1">
        <f t="array" ref="BM36">INDEX($X$25:$AQ$128, $BG36, BM$27+1)</f>
        <v>0</v>
      </c>
      <c r="BN36" cm="1">
        <f t="array" ref="BN36">INDEX($X$25:$AQ$128, $BG36, BN$27+1)</f>
        <v>0</v>
      </c>
      <c r="BP36" cm="1">
        <f t="array" ref="BP36">IFERROR(INDEX(BH$28:BH$48, $BG36+BH$53, 1), 0)</f>
        <v>0</v>
      </c>
      <c r="BQ36" cm="1">
        <f t="array" ref="BQ36">IFERROR(INDEX(BI$28:BI$48, $BG36+BI$53, 1), 0)</f>
        <v>0</v>
      </c>
      <c r="BR36" cm="1">
        <f t="array" ref="BR36">IFERROR(INDEX(BJ$28:BJ$48, $BG36+BJ$53, 1), 0)</f>
        <v>0</v>
      </c>
      <c r="BS36" cm="1">
        <f t="array" ref="BS36">IFERROR(INDEX(BK$28:BK$48, $BG36+BK$53, 1), 0)</f>
        <v>0</v>
      </c>
      <c r="BT36" cm="1">
        <f t="array" ref="BT36">IFERROR(INDEX(BL$28:BL$48, $BG36+BL$53, 1), 0)</f>
        <v>0</v>
      </c>
      <c r="BU36" cm="1">
        <f t="array" ref="BU36">IFERROR(INDEX(BM$28:BM$48, $BG36+BM$53, 1), 0)</f>
        <v>0</v>
      </c>
      <c r="BV36" cm="1">
        <f t="array" ref="BV36">IFERROR(INDEX(BN$28:BN$48, $BG36+BN$53, 1), 0)</f>
        <v>0</v>
      </c>
      <c r="BX36">
        <v>0</v>
      </c>
      <c r="BY36">
        <v>0</v>
      </c>
      <c r="CA36">
        <v>11</v>
      </c>
      <c r="CB36">
        <f t="shared" si="26"/>
        <v>0</v>
      </c>
    </row>
    <row r="37" spans="1:80" x14ac:dyDescent="0.3">
      <c r="A37" t="s">
        <v>70</v>
      </c>
      <c r="B37" t="s">
        <v>116</v>
      </c>
      <c r="C37" t="s">
        <v>119</v>
      </c>
      <c r="D37" t="s">
        <v>120</v>
      </c>
      <c r="E37">
        <v>12.4</v>
      </c>
      <c r="F37">
        <v>7</v>
      </c>
      <c r="H37">
        <f t="shared" si="5"/>
        <v>5</v>
      </c>
      <c r="I37">
        <v>13</v>
      </c>
      <c r="J37">
        <f t="shared" si="6"/>
        <v>38</v>
      </c>
      <c r="K37" t="str">
        <f t="shared" si="7"/>
        <v>Bench</v>
      </c>
      <c r="L37" t="str">
        <f t="shared" si="8"/>
        <v>WR</v>
      </c>
      <c r="M37">
        <f t="shared" si="9"/>
        <v>13.9</v>
      </c>
      <c r="N37" t="str">
        <f t="shared" si="10"/>
        <v>WshWR</v>
      </c>
      <c r="P37">
        <f t="shared" si="11"/>
        <v>0</v>
      </c>
      <c r="R37">
        <f t="shared" si="12"/>
        <v>38</v>
      </c>
      <c r="S37" t="str" cm="1">
        <f t="array" ref="S37">INDEX($A$25:$A$325, R37, 1)</f>
        <v>Bench</v>
      </c>
      <c r="T37" t="str">
        <f t="shared" si="13"/>
        <v>WR</v>
      </c>
      <c r="U37" cm="1">
        <f t="array" ref="U37">INDEX($F$25:$F$325, R37, 1)</f>
        <v>13.9</v>
      </c>
      <c r="V37" t="str" cm="1">
        <f t="array" ref="V37">INDEX($B$25:$B$325, R37+2, 1)</f>
        <v>WshWR</v>
      </c>
      <c r="X37">
        <f t="shared" si="3"/>
        <v>0</v>
      </c>
      <c r="Y37">
        <v>0</v>
      </c>
      <c r="Z37">
        <f t="shared" si="14"/>
        <v>0</v>
      </c>
      <c r="AA37">
        <v>0</v>
      </c>
      <c r="AB37">
        <f t="shared" si="15"/>
        <v>13.9</v>
      </c>
      <c r="AC37">
        <v>0</v>
      </c>
      <c r="AD37">
        <f t="shared" si="16"/>
        <v>0</v>
      </c>
      <c r="AE37">
        <v>0</v>
      </c>
      <c r="AF37">
        <f t="shared" si="17"/>
        <v>0</v>
      </c>
      <c r="AG37">
        <v>0</v>
      </c>
      <c r="AH37">
        <f t="shared" si="18"/>
        <v>0</v>
      </c>
      <c r="AI37">
        <v>0</v>
      </c>
      <c r="AJ37">
        <f t="shared" si="19"/>
        <v>0</v>
      </c>
      <c r="AK37">
        <v>0</v>
      </c>
      <c r="AL37">
        <f t="shared" si="20"/>
        <v>0</v>
      </c>
      <c r="AM37">
        <v>0</v>
      </c>
      <c r="AN37">
        <f t="shared" si="21"/>
        <v>0</v>
      </c>
      <c r="AO37">
        <v>0</v>
      </c>
      <c r="AP37">
        <f t="shared" si="22"/>
        <v>0</v>
      </c>
      <c r="AQ37">
        <v>0</v>
      </c>
      <c r="AS37">
        <v>8</v>
      </c>
      <c r="AT37" cm="1">
        <f t="array" ref="AT37">IF(AT$25&gt;=$AS37, INDEX($X32:$AQ32, 1, AT$29*2), 0)</f>
        <v>0</v>
      </c>
      <c r="AU37" cm="1">
        <f t="array" ref="AU37">IF(AU$25&gt;=$AS37, INDEX($X32:$AQ32, 1, AU$29*2), 0)</f>
        <v>0</v>
      </c>
      <c r="AV37" cm="1">
        <f t="array" ref="AV37">IF(AV$25&gt;=$AS37, INDEX($X32:$AQ32, 1, AV$29*2), 0)</f>
        <v>0</v>
      </c>
      <c r="AW37" cm="1">
        <f t="array" ref="AW37">IF(AW$25&gt;=$AS37, INDEX($X32:$AQ32, 1, AW$29*2), 0)</f>
        <v>0</v>
      </c>
      <c r="AX37" cm="1">
        <f t="array" ref="AX37">IF(AX$25&gt;=$AS37, INDEX($X32:$AQ32, 1, AX$29*2), 0)</f>
        <v>0</v>
      </c>
      <c r="AY37" cm="1">
        <f t="array" ref="AY37">IF(AY$25&gt;=$AS37, INDEX($X32:$AQ32, 1, AY$29*2), 0)</f>
        <v>0</v>
      </c>
      <c r="AZ37" cm="1">
        <f t="array" ref="AZ37">IF(AZ$25&gt;=$AS37, INDEX($X32:$AQ32, 1, AZ$29*2), 0)</f>
        <v>0</v>
      </c>
      <c r="BA37" cm="1">
        <f t="array" ref="BA37">IF(BA$25&gt;=$AS37, INDEX($X32:$AQ32, 1, BA$29*2), 0)</f>
        <v>0</v>
      </c>
      <c r="BB37" cm="1">
        <f t="array" ref="BB37">IF(BB$25&gt;=$AS37, INDEX($X32:$AQ32, 1, BB$29*2), 0)</f>
        <v>0</v>
      </c>
      <c r="BC37" cm="1">
        <f t="array" ref="BC37">IF(BC$25&gt;=$AS37, INDEX($X32:$AQ32, 1, BC$29*2), 0)</f>
        <v>0</v>
      </c>
      <c r="BE37" s="6"/>
      <c r="BG37">
        <v>10</v>
      </c>
      <c r="BH37" cm="1">
        <f t="array" ref="BH37">INDEX($X$25:$AQ$128, $BG37, BH$27+1)</f>
        <v>0</v>
      </c>
      <c r="BI37" cm="1">
        <f t="array" ref="BI37">INDEX($X$25:$AQ$128, $BG37, BI$27+1)</f>
        <v>0</v>
      </c>
      <c r="BJ37" cm="1">
        <f t="array" ref="BJ37">INDEX($X$25:$AQ$128, $BG37, BJ$27+1)</f>
        <v>0</v>
      </c>
      <c r="BK37" cm="1">
        <f t="array" ref="BK37">INDEX($X$25:$AQ$128, $BG37, BK$27+1)</f>
        <v>0</v>
      </c>
      <c r="BL37" cm="1">
        <f t="array" ref="BL37">INDEX($X$25:$AQ$128, $BG37, BL$27+1)</f>
        <v>0</v>
      </c>
      <c r="BM37" cm="1">
        <f t="array" ref="BM37">INDEX($X$25:$AQ$128, $BG37, BM$27+1)</f>
        <v>0</v>
      </c>
      <c r="BN37" cm="1">
        <f t="array" ref="BN37">INDEX($X$25:$AQ$128, $BG37, BN$27+1)</f>
        <v>0</v>
      </c>
      <c r="BP37" cm="1">
        <f t="array" ref="BP37">IFERROR(INDEX(BH$28:BH$48, $BG37+BH$53, 1), 0)</f>
        <v>0</v>
      </c>
      <c r="BQ37" cm="1">
        <f t="array" ref="BQ37">IFERROR(INDEX(BI$28:BI$48, $BG37+BI$53, 1), 0)</f>
        <v>0</v>
      </c>
      <c r="BR37" cm="1">
        <f t="array" ref="BR37">IFERROR(INDEX(BJ$28:BJ$48, $BG37+BJ$53, 1), 0)</f>
        <v>0</v>
      </c>
      <c r="BS37" cm="1">
        <f t="array" ref="BS37">IFERROR(INDEX(BK$28:BK$48, $BG37+BK$53, 1), 0)</f>
        <v>0</v>
      </c>
      <c r="BT37" cm="1">
        <f t="array" ref="BT37">IFERROR(INDEX(BL$28:BL$48, $BG37+BL$53, 1), 0)</f>
        <v>0</v>
      </c>
      <c r="BU37" cm="1">
        <f t="array" ref="BU37">IFERROR(INDEX(BM$28:BM$48, $BG37+BM$53, 1), 0)</f>
        <v>0</v>
      </c>
      <c r="BV37" cm="1">
        <f t="array" ref="BV37">IFERROR(INDEX(BN$28:BN$48, $BG37+BN$53, 1), 0)</f>
        <v>0</v>
      </c>
      <c r="BX37">
        <v>0</v>
      </c>
      <c r="BY37">
        <v>0</v>
      </c>
      <c r="CA37">
        <v>12</v>
      </c>
      <c r="CB37">
        <f t="shared" si="26"/>
        <v>0</v>
      </c>
    </row>
    <row r="38" spans="1:80" x14ac:dyDescent="0.3">
      <c r="B38" t="s">
        <v>117</v>
      </c>
      <c r="H38">
        <f t="shared" si="5"/>
        <v>0</v>
      </c>
      <c r="I38">
        <v>14</v>
      </c>
      <c r="J38">
        <f t="shared" si="6"/>
        <v>41</v>
      </c>
      <c r="K38" t="str">
        <f t="shared" si="7"/>
        <v>Bench</v>
      </c>
      <c r="L38" t="str">
        <f t="shared" si="8"/>
        <v>WR</v>
      </c>
      <c r="M38">
        <f t="shared" si="9"/>
        <v>0</v>
      </c>
      <c r="N38" t="str">
        <f t="shared" si="10"/>
        <v>MinWR</v>
      </c>
      <c r="P38">
        <f t="shared" si="11"/>
        <v>0</v>
      </c>
      <c r="R38">
        <f t="shared" si="12"/>
        <v>41</v>
      </c>
      <c r="S38" t="str" cm="1">
        <f t="array" ref="S38">INDEX($A$25:$A$325, R38, 1)</f>
        <v>Bench</v>
      </c>
      <c r="T38" t="str">
        <f t="shared" si="13"/>
        <v>WR</v>
      </c>
      <c r="U38" cm="1">
        <f t="array" ref="U38">INDEX($F$25:$F$325, R38, 1)</f>
        <v>0</v>
      </c>
      <c r="V38" t="str" cm="1">
        <f t="array" ref="V38">INDEX($B$25:$B$325, R38+2, 1)</f>
        <v>MinWR</v>
      </c>
      <c r="X38">
        <f t="shared" si="3"/>
        <v>0</v>
      </c>
      <c r="Y38">
        <v>0</v>
      </c>
      <c r="Z38">
        <f t="shared" si="14"/>
        <v>0</v>
      </c>
      <c r="AA38">
        <v>0</v>
      </c>
      <c r="AB38">
        <f t="shared" si="15"/>
        <v>0</v>
      </c>
      <c r="AC38">
        <v>0</v>
      </c>
      <c r="AD38">
        <f t="shared" si="16"/>
        <v>0</v>
      </c>
      <c r="AE38">
        <v>0</v>
      </c>
      <c r="AF38">
        <f t="shared" si="17"/>
        <v>0</v>
      </c>
      <c r="AG38">
        <v>0</v>
      </c>
      <c r="AH38">
        <f t="shared" si="18"/>
        <v>0</v>
      </c>
      <c r="AI38">
        <v>0</v>
      </c>
      <c r="AJ38">
        <f t="shared" si="19"/>
        <v>0</v>
      </c>
      <c r="AK38">
        <v>0</v>
      </c>
      <c r="AL38">
        <f t="shared" si="20"/>
        <v>0</v>
      </c>
      <c r="AM38">
        <v>0</v>
      </c>
      <c r="AN38">
        <f t="shared" si="21"/>
        <v>0</v>
      </c>
      <c r="AO38">
        <v>0</v>
      </c>
      <c r="AP38">
        <f t="shared" si="22"/>
        <v>0</v>
      </c>
      <c r="AQ38">
        <v>0</v>
      </c>
      <c r="AS38">
        <v>9</v>
      </c>
      <c r="AT38" cm="1">
        <f t="array" ref="AT38">IF(AT$25&gt;=$AS38, INDEX($X33:$AQ33, 1, AT$29*2), 0)</f>
        <v>0</v>
      </c>
      <c r="AU38" cm="1">
        <f t="array" ref="AU38">IF(AU$25&gt;=$AS38, INDEX($X33:$AQ33, 1, AU$29*2), 0)</f>
        <v>0</v>
      </c>
      <c r="AV38" cm="1">
        <f t="array" ref="AV38">IF(AV$25&gt;=$AS38, INDEX($X33:$AQ33, 1, AV$29*2), 0)</f>
        <v>0</v>
      </c>
      <c r="AW38" cm="1">
        <f t="array" ref="AW38">IF(AW$25&gt;=$AS38, INDEX($X33:$AQ33, 1, AW$29*2), 0)</f>
        <v>0</v>
      </c>
      <c r="AX38" cm="1">
        <f t="array" ref="AX38">IF(AX$25&gt;=$AS38, INDEX($X33:$AQ33, 1, AX$29*2), 0)</f>
        <v>0</v>
      </c>
      <c r="AY38" cm="1">
        <f t="array" ref="AY38">IF(AY$25&gt;=$AS38, INDEX($X33:$AQ33, 1, AY$29*2), 0)</f>
        <v>0</v>
      </c>
      <c r="AZ38" cm="1">
        <f t="array" ref="AZ38">IF(AZ$25&gt;=$AS38, INDEX($X33:$AQ33, 1, AZ$29*2), 0)</f>
        <v>0</v>
      </c>
      <c r="BA38" cm="1">
        <f t="array" ref="BA38">IF(BA$25&gt;=$AS38, INDEX($X33:$AQ33, 1, BA$29*2), 0)</f>
        <v>0</v>
      </c>
      <c r="BB38" cm="1">
        <f t="array" ref="BB38">IF(BB$25&gt;=$AS38, INDEX($X33:$AQ33, 1, BB$29*2), 0)</f>
        <v>0</v>
      </c>
      <c r="BC38" cm="1">
        <f t="array" ref="BC38">IF(BC$25&gt;=$AS38, INDEX($X33:$AQ33, 1, BC$29*2), 0)</f>
        <v>0</v>
      </c>
      <c r="BE38" s="6"/>
      <c r="BG38">
        <v>11</v>
      </c>
      <c r="BH38" cm="1">
        <f t="array" ref="BH38">INDEX($X$25:$AQ$128, $BG38, BH$27+1)</f>
        <v>0</v>
      </c>
      <c r="BI38" cm="1">
        <f t="array" ref="BI38">INDEX($X$25:$AQ$128, $BG38, BI$27+1)</f>
        <v>0</v>
      </c>
      <c r="BJ38" cm="1">
        <f t="array" ref="BJ38">INDEX($X$25:$AQ$128, $BG38, BJ$27+1)</f>
        <v>0</v>
      </c>
      <c r="BK38" cm="1">
        <f t="array" ref="BK38">INDEX($X$25:$AQ$128, $BG38, BK$27+1)</f>
        <v>0</v>
      </c>
      <c r="BL38" cm="1">
        <f t="array" ref="BL38">INDEX($X$25:$AQ$128, $BG38, BL$27+1)</f>
        <v>0</v>
      </c>
      <c r="BM38" cm="1">
        <f t="array" ref="BM38">INDEX($X$25:$AQ$128, $BG38, BM$27+1)</f>
        <v>0</v>
      </c>
      <c r="BN38" cm="1">
        <f t="array" ref="BN38">INDEX($X$25:$AQ$128, $BG38, BN$27+1)</f>
        <v>0</v>
      </c>
      <c r="BP38" cm="1">
        <f t="array" ref="BP38">IFERROR(INDEX(BH$28:BH$48, $BG38+BH$53, 1), 0)</f>
        <v>0</v>
      </c>
      <c r="BQ38" cm="1">
        <f t="array" ref="BQ38">IFERROR(INDEX(BI$28:BI$48, $BG38+BI$53, 1), 0)</f>
        <v>0</v>
      </c>
      <c r="BR38" cm="1">
        <f t="array" ref="BR38">IFERROR(INDEX(BJ$28:BJ$48, $BG38+BJ$53, 1), 0)</f>
        <v>0</v>
      </c>
      <c r="BS38" cm="1">
        <f t="array" ref="BS38">IFERROR(INDEX(BK$28:BK$48, $BG38+BK$53, 1), 0)</f>
        <v>0</v>
      </c>
      <c r="BT38" cm="1">
        <f t="array" ref="BT38">IFERROR(INDEX(BL$28:BL$48, $BG38+BL$53, 1), 0)</f>
        <v>0</v>
      </c>
      <c r="BU38" cm="1">
        <f t="array" ref="BU38">IFERROR(INDEX(BM$28:BM$48, $BG38+BM$53, 1), 0)</f>
        <v>0</v>
      </c>
      <c r="BV38" cm="1">
        <f t="array" ref="BV38">IFERROR(INDEX(BN$28:BN$48, $BG38+BN$53, 1), 0)</f>
        <v>0</v>
      </c>
      <c r="BX38">
        <v>0</v>
      </c>
      <c r="BY38">
        <v>0</v>
      </c>
      <c r="CA38">
        <v>13</v>
      </c>
      <c r="CB38">
        <f t="shared" si="26"/>
        <v>0</v>
      </c>
    </row>
    <row r="39" spans="1:80" x14ac:dyDescent="0.3">
      <c r="B39" t="s">
        <v>118</v>
      </c>
      <c r="H39">
        <f t="shared" si="5"/>
        <v>0</v>
      </c>
      <c r="I39">
        <v>15</v>
      </c>
      <c r="J39">
        <f t="shared" si="6"/>
        <v>44</v>
      </c>
      <c r="K39" t="str">
        <f t="shared" si="7"/>
        <v>Bench</v>
      </c>
      <c r="L39" t="str">
        <f t="shared" si="8"/>
        <v>QB</v>
      </c>
      <c r="M39">
        <f t="shared" si="9"/>
        <v>14.98</v>
      </c>
      <c r="N39" t="str">
        <f t="shared" si="10"/>
        <v>HouQB</v>
      </c>
      <c r="P39">
        <f t="shared" si="11"/>
        <v>0</v>
      </c>
      <c r="R39">
        <f t="shared" si="12"/>
        <v>44</v>
      </c>
      <c r="S39" t="str" cm="1">
        <f t="array" ref="S39">INDEX($A$25:$A$325, R39, 1)</f>
        <v>Bench</v>
      </c>
      <c r="T39" t="str">
        <f t="shared" si="13"/>
        <v>QB</v>
      </c>
      <c r="U39" cm="1">
        <f t="array" ref="U39">INDEX($F$25:$F$325, R39, 1)</f>
        <v>14.98</v>
      </c>
      <c r="V39" t="str" cm="1">
        <f t="array" ref="V39">INDEX($B$25:$B$325, R39+2, 1)</f>
        <v>HouQB</v>
      </c>
      <c r="X39">
        <f t="shared" si="3"/>
        <v>14.98</v>
      </c>
      <c r="Y39">
        <v>0</v>
      </c>
      <c r="Z39">
        <f t="shared" si="14"/>
        <v>0</v>
      </c>
      <c r="AA39">
        <v>0</v>
      </c>
      <c r="AB39">
        <f t="shared" si="15"/>
        <v>0</v>
      </c>
      <c r="AC39">
        <v>0</v>
      </c>
      <c r="AD39">
        <f t="shared" si="16"/>
        <v>0</v>
      </c>
      <c r="AE39">
        <v>0</v>
      </c>
      <c r="AF39">
        <f t="shared" si="17"/>
        <v>0</v>
      </c>
      <c r="AG39">
        <v>0</v>
      </c>
      <c r="AH39">
        <f t="shared" si="18"/>
        <v>0</v>
      </c>
      <c r="AI39">
        <v>0</v>
      </c>
      <c r="AJ39">
        <f t="shared" si="19"/>
        <v>0</v>
      </c>
      <c r="AK39">
        <v>0</v>
      </c>
      <c r="AL39">
        <f t="shared" si="20"/>
        <v>0</v>
      </c>
      <c r="AM39">
        <v>0</v>
      </c>
      <c r="AN39">
        <f t="shared" si="21"/>
        <v>0</v>
      </c>
      <c r="AO39">
        <v>0</v>
      </c>
      <c r="AP39">
        <f t="shared" si="22"/>
        <v>0</v>
      </c>
      <c r="AQ39">
        <v>0</v>
      </c>
      <c r="AS39">
        <v>10</v>
      </c>
      <c r="AT39" cm="1">
        <f t="array" ref="AT39">IF(AT$25&gt;=$AS39, INDEX($X34:$AQ34, 1, AT$29*2), 0)</f>
        <v>0</v>
      </c>
      <c r="AU39" cm="1">
        <f t="array" ref="AU39">IF(AU$25&gt;=$AS39, INDEX($X34:$AQ34, 1, AU$29*2), 0)</f>
        <v>0</v>
      </c>
      <c r="AV39" cm="1">
        <f t="array" ref="AV39">IF(AV$25&gt;=$AS39, INDEX($X34:$AQ34, 1, AV$29*2), 0)</f>
        <v>0</v>
      </c>
      <c r="AW39" cm="1">
        <f t="array" ref="AW39">IF(AW$25&gt;=$AS39, INDEX($X34:$AQ34, 1, AW$29*2), 0)</f>
        <v>0</v>
      </c>
      <c r="AX39" cm="1">
        <f t="array" ref="AX39">IF(AX$25&gt;=$AS39, INDEX($X34:$AQ34, 1, AX$29*2), 0)</f>
        <v>0</v>
      </c>
      <c r="AY39" cm="1">
        <f t="array" ref="AY39">IF(AY$25&gt;=$AS39, INDEX($X34:$AQ34, 1, AY$29*2), 0)</f>
        <v>0</v>
      </c>
      <c r="AZ39" cm="1">
        <f t="array" ref="AZ39">IF(AZ$25&gt;=$AS39, INDEX($X34:$AQ34, 1, AZ$29*2), 0)</f>
        <v>0</v>
      </c>
      <c r="BA39" cm="1">
        <f t="array" ref="BA39">IF(BA$25&gt;=$AS39, INDEX($X34:$AQ34, 1, BA$29*2), 0)</f>
        <v>0</v>
      </c>
      <c r="BB39" cm="1">
        <f t="array" ref="BB39">IF(BB$25&gt;=$AS39, INDEX($X34:$AQ34, 1, BB$29*2), 0)</f>
        <v>0</v>
      </c>
      <c r="BC39" cm="1">
        <f t="array" ref="BC39">IF(BC$25&gt;=$AS39, INDEX($X34:$AQ34, 1, BC$29*2), 0)</f>
        <v>0</v>
      </c>
      <c r="BE39" s="6"/>
      <c r="BG39">
        <v>12</v>
      </c>
      <c r="BH39" cm="1">
        <f t="array" ref="BH39">INDEX($X$25:$AQ$128, $BG39, BH$27+1)</f>
        <v>0</v>
      </c>
      <c r="BI39" cm="1">
        <f t="array" ref="BI39">INDEX($X$25:$AQ$128, $BG39, BI$27+1)</f>
        <v>0</v>
      </c>
      <c r="BJ39" cm="1">
        <f t="array" ref="BJ39">INDEX($X$25:$AQ$128, $BG39, BJ$27+1)</f>
        <v>0</v>
      </c>
      <c r="BK39" cm="1">
        <f t="array" ref="BK39">INDEX($X$25:$AQ$128, $BG39, BK$27+1)</f>
        <v>0</v>
      </c>
      <c r="BL39" cm="1">
        <f t="array" ref="BL39">INDEX($X$25:$AQ$128, $BG39, BL$27+1)</f>
        <v>0</v>
      </c>
      <c r="BM39" cm="1">
        <f t="array" ref="BM39">INDEX($X$25:$AQ$128, $BG39, BM$27+1)</f>
        <v>0</v>
      </c>
      <c r="BN39" cm="1">
        <f t="array" ref="BN39">INDEX($X$25:$AQ$128, $BG39, BN$27+1)</f>
        <v>0</v>
      </c>
      <c r="BP39" cm="1">
        <f t="array" ref="BP39">IFERROR(INDEX(BH$28:BH$48, $BG39+BH$53, 1), 0)</f>
        <v>0</v>
      </c>
      <c r="BQ39" cm="1">
        <f t="array" ref="BQ39">IFERROR(INDEX(BI$28:BI$48, $BG39+BI$53, 1), 0)</f>
        <v>0</v>
      </c>
      <c r="BR39" cm="1">
        <f t="array" ref="BR39">IFERROR(INDEX(BJ$28:BJ$48, $BG39+BJ$53, 1), 0)</f>
        <v>0</v>
      </c>
      <c r="BS39" cm="1">
        <f t="array" ref="BS39">IFERROR(INDEX(BK$28:BK$48, $BG39+BK$53, 1), 0)</f>
        <v>0</v>
      </c>
      <c r="BT39" cm="1">
        <f t="array" ref="BT39">IFERROR(INDEX(BL$28:BL$48, $BG39+BL$53, 1), 0)</f>
        <v>0</v>
      </c>
      <c r="BU39" cm="1">
        <f t="array" ref="BU39">IFERROR(INDEX(BM$28:BM$48, $BG39+BM$53, 1), 0)</f>
        <v>0</v>
      </c>
      <c r="BV39" cm="1">
        <f t="array" ref="BV39">IFERROR(INDEX(BN$28:BN$48, $BG39+BN$53, 1), 0)</f>
        <v>0</v>
      </c>
      <c r="BX39">
        <v>0</v>
      </c>
      <c r="BY39">
        <v>0</v>
      </c>
      <c r="CA39">
        <v>14</v>
      </c>
      <c r="CB39">
        <f t="shared" si="26"/>
        <v>0</v>
      </c>
    </row>
    <row r="40" spans="1:80" x14ac:dyDescent="0.3">
      <c r="A40" t="s">
        <v>71</v>
      </c>
      <c r="B40" t="s">
        <v>121</v>
      </c>
      <c r="C40" t="s">
        <v>96</v>
      </c>
      <c r="D40" t="s">
        <v>97</v>
      </c>
      <c r="E40">
        <v>9.8000000000000007</v>
      </c>
      <c r="F40">
        <v>8.1</v>
      </c>
      <c r="H40">
        <f t="shared" si="5"/>
        <v>6</v>
      </c>
      <c r="I40">
        <v>16</v>
      </c>
      <c r="J40">
        <f t="shared" si="6"/>
        <v>47</v>
      </c>
      <c r="K40" t="str">
        <f t="shared" si="7"/>
        <v>Bench</v>
      </c>
      <c r="L40" t="str">
        <f t="shared" si="8"/>
        <v>WR</v>
      </c>
      <c r="M40">
        <f t="shared" si="9"/>
        <v>5.5</v>
      </c>
      <c r="N40" t="str">
        <f t="shared" si="10"/>
        <v>KCWR</v>
      </c>
      <c r="P40">
        <f t="shared" si="11"/>
        <v>0</v>
      </c>
      <c r="R40">
        <f t="shared" si="12"/>
        <v>47</v>
      </c>
      <c r="S40" t="str" cm="1">
        <f t="array" ref="S40">INDEX($A$25:$A$325, R40, 1)</f>
        <v>Bench</v>
      </c>
      <c r="T40" t="str">
        <f t="shared" si="13"/>
        <v>WR</v>
      </c>
      <c r="U40" cm="1">
        <f t="array" ref="U40">INDEX($F$25:$F$325, R40, 1)</f>
        <v>5.5</v>
      </c>
      <c r="V40" t="str" cm="1">
        <f t="array" ref="V40">INDEX($B$25:$B$325, R40+2, 1)</f>
        <v>KCWR</v>
      </c>
      <c r="X40">
        <f t="shared" si="3"/>
        <v>0</v>
      </c>
      <c r="Y40">
        <v>0</v>
      </c>
      <c r="Z40">
        <f t="shared" si="14"/>
        <v>0</v>
      </c>
      <c r="AA40">
        <v>0</v>
      </c>
      <c r="AB40">
        <f t="shared" si="15"/>
        <v>5.5</v>
      </c>
      <c r="AC40">
        <v>0</v>
      </c>
      <c r="AD40">
        <f t="shared" si="16"/>
        <v>0</v>
      </c>
      <c r="AE40">
        <v>0</v>
      </c>
      <c r="AF40">
        <f t="shared" si="17"/>
        <v>0</v>
      </c>
      <c r="AG40">
        <v>0</v>
      </c>
      <c r="AH40">
        <f t="shared" si="18"/>
        <v>0</v>
      </c>
      <c r="AI40">
        <v>0</v>
      </c>
      <c r="AJ40">
        <f t="shared" si="19"/>
        <v>0</v>
      </c>
      <c r="AK40">
        <v>0</v>
      </c>
      <c r="AL40">
        <f t="shared" si="20"/>
        <v>0</v>
      </c>
      <c r="AM40">
        <v>0</v>
      </c>
      <c r="AN40">
        <f t="shared" si="21"/>
        <v>0</v>
      </c>
      <c r="AO40">
        <v>0</v>
      </c>
      <c r="AP40">
        <f t="shared" si="22"/>
        <v>0</v>
      </c>
      <c r="AQ40">
        <v>0</v>
      </c>
      <c r="AS40">
        <v>11</v>
      </c>
      <c r="AT40" cm="1">
        <f t="array" ref="AT40">IF(AT$25&gt;=$AS40, INDEX($X35:$AQ35, 1, AT$29*2), 0)</f>
        <v>0</v>
      </c>
      <c r="AU40" cm="1">
        <f t="array" ref="AU40">IF(AU$25&gt;=$AS40, INDEX($X35:$AQ35, 1, AU$29*2), 0)</f>
        <v>0</v>
      </c>
      <c r="AV40" cm="1">
        <f t="array" ref="AV40">IF(AV$25&gt;=$AS40, INDEX($X35:$AQ35, 1, AV$29*2), 0)</f>
        <v>0</v>
      </c>
      <c r="AW40" cm="1">
        <f t="array" ref="AW40">IF(AW$25&gt;=$AS40, INDEX($X35:$AQ35, 1, AW$29*2), 0)</f>
        <v>0</v>
      </c>
      <c r="AX40" cm="1">
        <f t="array" ref="AX40">IF(AX$25&gt;=$AS40, INDEX($X35:$AQ35, 1, AX$29*2), 0)</f>
        <v>0</v>
      </c>
      <c r="AY40" cm="1">
        <f t="array" ref="AY40">IF(AY$25&gt;=$AS40, INDEX($X35:$AQ35, 1, AY$29*2), 0)</f>
        <v>0</v>
      </c>
      <c r="AZ40" cm="1">
        <f t="array" ref="AZ40">IF(AZ$25&gt;=$AS40, INDEX($X35:$AQ35, 1, AZ$29*2), 0)</f>
        <v>0</v>
      </c>
      <c r="BA40" cm="1">
        <f t="array" ref="BA40">IF(BA$25&gt;=$AS40, INDEX($X35:$AQ35, 1, BA$29*2), 0)</f>
        <v>0</v>
      </c>
      <c r="BB40" cm="1">
        <f t="array" ref="BB40">IF(BB$25&gt;=$AS40, INDEX($X35:$AQ35, 1, BB$29*2), 0)</f>
        <v>0</v>
      </c>
      <c r="BC40" cm="1">
        <f t="array" ref="BC40">IF(BC$25&gt;=$AS40, INDEX($X35:$AQ35, 1, BC$29*2), 0)</f>
        <v>0</v>
      </c>
      <c r="BE40" s="6"/>
      <c r="BG40">
        <v>13</v>
      </c>
      <c r="BH40" cm="1">
        <f t="array" ref="BH40">INDEX($X$25:$AQ$128, $BG40, BH$27+1)</f>
        <v>0</v>
      </c>
      <c r="BI40" cm="1">
        <f t="array" ref="BI40">INDEX($X$25:$AQ$128, $BG40, BI$27+1)</f>
        <v>0</v>
      </c>
      <c r="BJ40" cm="1">
        <f t="array" ref="BJ40">INDEX($X$25:$AQ$128, $BG40, BJ$27+1)</f>
        <v>0</v>
      </c>
      <c r="BK40" cm="1">
        <f t="array" ref="BK40">INDEX($X$25:$AQ$128, $BG40, BK$27+1)</f>
        <v>0</v>
      </c>
      <c r="BL40" cm="1">
        <f t="array" ref="BL40">INDEX($X$25:$AQ$128, $BG40, BL$27+1)</f>
        <v>0</v>
      </c>
      <c r="BM40" cm="1">
        <f t="array" ref="BM40">INDEX($X$25:$AQ$128, $BG40, BM$27+1)</f>
        <v>0</v>
      </c>
      <c r="BN40" cm="1">
        <f t="array" ref="BN40">INDEX($X$25:$AQ$128, $BG40, BN$27+1)</f>
        <v>0</v>
      </c>
      <c r="BP40" cm="1">
        <f t="array" ref="BP40">IFERROR(INDEX(BH$28:BH$48, $BG40+BH$53, 1), 0)</f>
        <v>0</v>
      </c>
      <c r="BQ40" cm="1">
        <f t="array" ref="BQ40">IFERROR(INDEX(BI$28:BI$48, $BG40+BI$53, 1), 0)</f>
        <v>0</v>
      </c>
      <c r="BR40" cm="1">
        <f t="array" ref="BR40">IFERROR(INDEX(BJ$28:BJ$48, $BG40+BJ$53, 1), 0)</f>
        <v>0</v>
      </c>
      <c r="BS40" cm="1">
        <f t="array" ref="BS40">IFERROR(INDEX(BK$28:BK$48, $BG40+BK$53, 1), 0)</f>
        <v>0</v>
      </c>
      <c r="BT40" cm="1">
        <f t="array" ref="BT40">IFERROR(INDEX(BL$28:BL$48, $BG40+BL$53, 1), 0)</f>
        <v>0</v>
      </c>
      <c r="BU40" cm="1">
        <f t="array" ref="BU40">IFERROR(INDEX(BM$28:BM$48, $BG40+BM$53, 1), 0)</f>
        <v>0</v>
      </c>
      <c r="BV40" cm="1">
        <f t="array" ref="BV40">IFERROR(INDEX(BN$28:BN$48, $BG40+BN$53, 1), 0)</f>
        <v>0</v>
      </c>
      <c r="BX40">
        <v>0</v>
      </c>
      <c r="BY40">
        <v>0</v>
      </c>
      <c r="CA40">
        <v>15</v>
      </c>
      <c r="CB40">
        <f t="shared" si="26"/>
        <v>0</v>
      </c>
    </row>
    <row r="41" spans="1:80" x14ac:dyDescent="0.3">
      <c r="B41" t="s">
        <v>122</v>
      </c>
      <c r="H41">
        <f t="shared" si="5"/>
        <v>0</v>
      </c>
      <c r="I41">
        <v>17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0</v>
      </c>
      <c r="P41">
        <f t="shared" si="11"/>
        <v>0</v>
      </c>
      <c r="R41" t="e">
        <f>MATCH($I41, $H$25:$H$325, 0)</f>
        <v>#N/A</v>
      </c>
      <c r="S41" t="e" cm="1">
        <f t="array" ref="S41">INDEX($A$25:$A$325, R41, 1)</f>
        <v>#N/A</v>
      </c>
      <c r="T41" t="e">
        <f t="shared" si="13"/>
        <v>#N/A</v>
      </c>
      <c r="U41" t="e" cm="1">
        <f t="array" ref="U41">INDEX($F$25:$F$325, R41, 1)</f>
        <v>#N/A</v>
      </c>
      <c r="V41" t="e" cm="1">
        <f t="array" ref="V41">INDEX($B$25:$B$325, R41+2, 1)</f>
        <v>#N/A</v>
      </c>
      <c r="X41">
        <f t="shared" si="3"/>
        <v>0</v>
      </c>
      <c r="Y41">
        <v>0</v>
      </c>
      <c r="Z41">
        <f t="shared" si="14"/>
        <v>0</v>
      </c>
      <c r="AA41">
        <v>0</v>
      </c>
      <c r="AB41">
        <f t="shared" si="15"/>
        <v>0</v>
      </c>
      <c r="AC41">
        <v>0</v>
      </c>
      <c r="AD41">
        <f t="shared" si="16"/>
        <v>0</v>
      </c>
      <c r="AE41">
        <v>0</v>
      </c>
      <c r="AF41">
        <f t="shared" si="17"/>
        <v>0</v>
      </c>
      <c r="AG41">
        <v>0</v>
      </c>
      <c r="AH41">
        <f t="shared" si="18"/>
        <v>0</v>
      </c>
      <c r="AI41">
        <v>0</v>
      </c>
      <c r="AJ41">
        <f t="shared" si="19"/>
        <v>0</v>
      </c>
      <c r="AK41">
        <v>0</v>
      </c>
      <c r="AL41">
        <f t="shared" si="20"/>
        <v>0</v>
      </c>
      <c r="AM41">
        <v>0</v>
      </c>
      <c r="AN41">
        <f t="shared" si="21"/>
        <v>0</v>
      </c>
      <c r="AO41">
        <v>0</v>
      </c>
      <c r="AP41">
        <f t="shared" si="22"/>
        <v>0</v>
      </c>
      <c r="AQ41">
        <v>0</v>
      </c>
      <c r="AS41">
        <v>12</v>
      </c>
      <c r="AT41" cm="1">
        <f t="array" ref="AT41">IF(AT$25&gt;=$AS41, INDEX($X36:$AQ36, 1, AT$29*2), 0)</f>
        <v>0</v>
      </c>
      <c r="AU41" cm="1">
        <f t="array" ref="AU41">IF(AU$25&gt;=$AS41, INDEX($X36:$AQ36, 1, AU$29*2), 0)</f>
        <v>0</v>
      </c>
      <c r="AV41" cm="1">
        <f t="array" ref="AV41">IF(AV$25&gt;=$AS41, INDEX($X36:$AQ36, 1, AV$29*2), 0)</f>
        <v>0</v>
      </c>
      <c r="AW41" cm="1">
        <f t="array" ref="AW41">IF(AW$25&gt;=$AS41, INDEX($X36:$AQ36, 1, AW$29*2), 0)</f>
        <v>0</v>
      </c>
      <c r="AX41" cm="1">
        <f t="array" ref="AX41">IF(AX$25&gt;=$AS41, INDEX($X36:$AQ36, 1, AX$29*2), 0)</f>
        <v>0</v>
      </c>
      <c r="AY41" cm="1">
        <f t="array" ref="AY41">IF(AY$25&gt;=$AS41, INDEX($X36:$AQ36, 1, AY$29*2), 0)</f>
        <v>0</v>
      </c>
      <c r="AZ41" cm="1">
        <f t="array" ref="AZ41">IF(AZ$25&gt;=$AS41, INDEX($X36:$AQ36, 1, AZ$29*2), 0)</f>
        <v>0</v>
      </c>
      <c r="BA41" cm="1">
        <f t="array" ref="BA41">IF(BA$25&gt;=$AS41, INDEX($X36:$AQ36, 1, BA$29*2), 0)</f>
        <v>0</v>
      </c>
      <c r="BB41" cm="1">
        <f t="array" ref="BB41">IF(BB$25&gt;=$AS41, INDEX($X36:$AQ36, 1, BB$29*2), 0)</f>
        <v>0</v>
      </c>
      <c r="BC41" cm="1">
        <f t="array" ref="BC41">IF(BC$25&gt;=$AS41, INDEX($X36:$AQ36, 1, BC$29*2), 0)</f>
        <v>0</v>
      </c>
      <c r="BE41" s="6"/>
      <c r="BG41">
        <v>14</v>
      </c>
      <c r="BH41" cm="1">
        <f t="array" ref="BH41">INDEX($X$25:$AQ$128, $BG41, BH$27+1)</f>
        <v>0</v>
      </c>
      <c r="BI41" cm="1">
        <f t="array" ref="BI41">INDEX($X$25:$AQ$128, $BG41, BI$27+1)</f>
        <v>0</v>
      </c>
      <c r="BJ41" cm="1">
        <f t="array" ref="BJ41">INDEX($X$25:$AQ$128, $BG41, BJ$27+1)</f>
        <v>0</v>
      </c>
      <c r="BK41" cm="1">
        <f t="array" ref="BK41">INDEX($X$25:$AQ$128, $BG41, BK$27+1)</f>
        <v>0</v>
      </c>
      <c r="BL41" cm="1">
        <f t="array" ref="BL41">INDEX($X$25:$AQ$128, $BG41, BL$27+1)</f>
        <v>0</v>
      </c>
      <c r="BM41" cm="1">
        <f t="array" ref="BM41">INDEX($X$25:$AQ$128, $BG41, BM$27+1)</f>
        <v>0</v>
      </c>
      <c r="BN41" cm="1">
        <f t="array" ref="BN41">INDEX($X$25:$AQ$128, $BG41, BN$27+1)</f>
        <v>0</v>
      </c>
      <c r="BP41" cm="1">
        <f t="array" ref="BP41">IFERROR(INDEX(BH$28:BH$48, $BG41+BH$53, 1), 0)</f>
        <v>0</v>
      </c>
      <c r="BQ41" cm="1">
        <f t="array" ref="BQ41">IFERROR(INDEX(BI$28:BI$48, $BG41+BI$53, 1), 0)</f>
        <v>0</v>
      </c>
      <c r="BR41" cm="1">
        <f t="array" ref="BR41">IFERROR(INDEX(BJ$28:BJ$48, $BG41+BJ$53, 1), 0)</f>
        <v>0</v>
      </c>
      <c r="BS41" cm="1">
        <f t="array" ref="BS41">IFERROR(INDEX(BK$28:BK$48, $BG41+BK$53, 1), 0)</f>
        <v>0</v>
      </c>
      <c r="BT41" cm="1">
        <f t="array" ref="BT41">IFERROR(INDEX(BL$28:BL$48, $BG41+BL$53, 1), 0)</f>
        <v>0</v>
      </c>
      <c r="BU41" cm="1">
        <f t="array" ref="BU41">IFERROR(INDEX(BM$28:BM$48, $BG41+BM$53, 1), 0)</f>
        <v>0</v>
      </c>
      <c r="BV41" cm="1">
        <f t="array" ref="BV41">IFERROR(INDEX(BN$28:BN$48, $BG41+BN$53, 1), 0)</f>
        <v>0</v>
      </c>
      <c r="BX41">
        <v>7</v>
      </c>
      <c r="BY41">
        <v>0</v>
      </c>
      <c r="CA41">
        <v>16</v>
      </c>
      <c r="CB41">
        <f t="shared" si="26"/>
        <v>0</v>
      </c>
    </row>
    <row r="42" spans="1:80" x14ac:dyDescent="0.3">
      <c r="B42" t="s">
        <v>123</v>
      </c>
      <c r="H42">
        <f t="shared" si="5"/>
        <v>0</v>
      </c>
      <c r="I42">
        <v>18</v>
      </c>
      <c r="J42">
        <f t="shared" si="6"/>
        <v>0</v>
      </c>
      <c r="K42">
        <f t="shared" si="7"/>
        <v>0</v>
      </c>
      <c r="L42">
        <f t="shared" si="8"/>
        <v>0</v>
      </c>
      <c r="M42">
        <f t="shared" si="9"/>
        <v>0</v>
      </c>
      <c r="N42">
        <f t="shared" si="10"/>
        <v>0</v>
      </c>
      <c r="P42">
        <f t="shared" si="11"/>
        <v>0</v>
      </c>
      <c r="R42" t="e">
        <f t="shared" si="12"/>
        <v>#N/A</v>
      </c>
      <c r="S42" t="e" cm="1">
        <f t="array" ref="S42">INDEX($A$25:$A$325, R42, 1)</f>
        <v>#N/A</v>
      </c>
      <c r="T42" t="e">
        <f t="shared" si="13"/>
        <v>#N/A</v>
      </c>
      <c r="U42" t="e" cm="1">
        <f t="array" ref="U42">INDEX($F$25:$F$325, R42, 1)</f>
        <v>#N/A</v>
      </c>
      <c r="V42" t="e" cm="1">
        <f t="array" ref="V42">INDEX($B$25:$B$325, R42+2, 1)</f>
        <v>#N/A</v>
      </c>
      <c r="X42">
        <f t="shared" si="3"/>
        <v>0</v>
      </c>
      <c r="Y42">
        <v>0</v>
      </c>
      <c r="Z42">
        <f t="shared" si="14"/>
        <v>0</v>
      </c>
      <c r="AA42">
        <v>0</v>
      </c>
      <c r="AB42">
        <f t="shared" si="15"/>
        <v>0</v>
      </c>
      <c r="AC42">
        <v>0</v>
      </c>
      <c r="AD42">
        <f t="shared" si="16"/>
        <v>0</v>
      </c>
      <c r="AE42">
        <v>0</v>
      </c>
      <c r="AF42">
        <f t="shared" si="17"/>
        <v>0</v>
      </c>
      <c r="AG42">
        <v>0</v>
      </c>
      <c r="AH42">
        <f t="shared" si="18"/>
        <v>0</v>
      </c>
      <c r="AI42">
        <v>0</v>
      </c>
      <c r="AJ42">
        <f t="shared" si="19"/>
        <v>0</v>
      </c>
      <c r="AK42">
        <v>0</v>
      </c>
      <c r="AL42">
        <f t="shared" si="20"/>
        <v>0</v>
      </c>
      <c r="AM42">
        <v>0</v>
      </c>
      <c r="AN42">
        <f t="shared" si="21"/>
        <v>0</v>
      </c>
      <c r="AO42">
        <v>0</v>
      </c>
      <c r="AP42">
        <f t="shared" si="22"/>
        <v>0</v>
      </c>
      <c r="AQ42">
        <v>0</v>
      </c>
      <c r="AS42">
        <v>13</v>
      </c>
      <c r="AT42" cm="1">
        <f t="array" ref="AT42">IF(AT$25&gt;=$AS42, INDEX($X37:$AQ37, 1, AT$29*2), 0)</f>
        <v>0</v>
      </c>
      <c r="AU42" cm="1">
        <f t="array" ref="AU42">IF(AU$25&gt;=$AS42, INDEX($X37:$AQ37, 1, AU$29*2), 0)</f>
        <v>0</v>
      </c>
      <c r="AV42" cm="1">
        <f t="array" ref="AV42">IF(AV$25&gt;=$AS42, INDEX($X37:$AQ37, 1, AV$29*2), 0)</f>
        <v>0</v>
      </c>
      <c r="AW42" cm="1">
        <f t="array" ref="AW42">IF(AW$25&gt;=$AS42, INDEX($X37:$AQ37, 1, AW$29*2), 0)</f>
        <v>0</v>
      </c>
      <c r="AX42" cm="1">
        <f t="array" ref="AX42">IF(AX$25&gt;=$AS42, INDEX($X37:$AQ37, 1, AX$29*2), 0)</f>
        <v>0</v>
      </c>
      <c r="AY42" cm="1">
        <f t="array" ref="AY42">IF(AY$25&gt;=$AS42, INDEX($X37:$AQ37, 1, AY$29*2), 0)</f>
        <v>0</v>
      </c>
      <c r="AZ42" cm="1">
        <f t="array" ref="AZ42">IF(AZ$25&gt;=$AS42, INDEX($X37:$AQ37, 1, AZ$29*2), 0)</f>
        <v>0</v>
      </c>
      <c r="BA42" cm="1">
        <f t="array" ref="BA42">IF(BA$25&gt;=$AS42, INDEX($X37:$AQ37, 1, BA$29*2), 0)</f>
        <v>0</v>
      </c>
      <c r="BB42" cm="1">
        <f t="array" ref="BB42">IF(BB$25&gt;=$AS42, INDEX($X37:$AQ37, 1, BB$29*2), 0)</f>
        <v>0</v>
      </c>
      <c r="BC42" cm="1">
        <f t="array" ref="BC42">IF(BC$25&gt;=$AS42, INDEX($X37:$AQ37, 1, BC$29*2), 0)</f>
        <v>0</v>
      </c>
      <c r="BE42" s="6"/>
      <c r="BG42">
        <v>15</v>
      </c>
      <c r="BH42" cm="1">
        <f t="array" ref="BH42">INDEX($X$25:$AQ$128, $BG42, BH$27+1)</f>
        <v>0</v>
      </c>
      <c r="BI42" cm="1">
        <f t="array" ref="BI42">INDEX($X$25:$AQ$128, $BG42, BI$27+1)</f>
        <v>0</v>
      </c>
      <c r="BJ42" cm="1">
        <f t="array" ref="BJ42">INDEX($X$25:$AQ$128, $BG42, BJ$27+1)</f>
        <v>0</v>
      </c>
      <c r="BK42" cm="1">
        <f t="array" ref="BK42">INDEX($X$25:$AQ$128, $BG42, BK$27+1)</f>
        <v>0</v>
      </c>
      <c r="BL42" cm="1">
        <f t="array" ref="BL42">INDEX($X$25:$AQ$128, $BG42, BL$27+1)</f>
        <v>0</v>
      </c>
      <c r="BM42" cm="1">
        <f t="array" ref="BM42">INDEX($X$25:$AQ$128, $BG42, BM$27+1)</f>
        <v>0</v>
      </c>
      <c r="BN42" cm="1">
        <f t="array" ref="BN42">INDEX($X$25:$AQ$128, $BG42, BN$27+1)</f>
        <v>0</v>
      </c>
      <c r="BP42" cm="1">
        <f t="array" ref="BP42">IFERROR(INDEX(BH$28:BH$48, $BG42+BH$53, 1), 0)</f>
        <v>0</v>
      </c>
      <c r="BQ42" cm="1">
        <f t="array" ref="BQ42">IFERROR(INDEX(BI$28:BI$48, $BG42+BI$53, 1), 0)</f>
        <v>0</v>
      </c>
      <c r="BR42" cm="1">
        <f t="array" ref="BR42">IFERROR(INDEX(BJ$28:BJ$48, $BG42+BJ$53, 1), 0)</f>
        <v>0</v>
      </c>
      <c r="BS42" cm="1">
        <f t="array" ref="BS42">IFERROR(INDEX(BK$28:BK$48, $BG42+BK$53, 1), 0)</f>
        <v>0</v>
      </c>
      <c r="BT42" cm="1">
        <f t="array" ref="BT42">IFERROR(INDEX(BL$28:BL$48, $BG42+BL$53, 1), 0)</f>
        <v>0</v>
      </c>
      <c r="BU42" cm="1">
        <f t="array" ref="BU42">IFERROR(INDEX(BM$28:BM$48, $BG42+BM$53, 1), 0)</f>
        <v>0</v>
      </c>
      <c r="BV42" cm="1">
        <f t="array" ref="BV42">IFERROR(INDEX(BN$28:BN$48, $BG42+BN$53, 1), 0)</f>
        <v>0</v>
      </c>
      <c r="BX42">
        <v>0</v>
      </c>
      <c r="BY42">
        <v>0</v>
      </c>
      <c r="CA42">
        <v>17</v>
      </c>
      <c r="CB42">
        <f t="shared" si="26"/>
        <v>0</v>
      </c>
    </row>
    <row r="43" spans="1:80" x14ac:dyDescent="0.3">
      <c r="A43" t="s">
        <v>72</v>
      </c>
      <c r="B43" t="s">
        <v>124</v>
      </c>
      <c r="C43" t="s">
        <v>127</v>
      </c>
      <c r="D43" t="s">
        <v>128</v>
      </c>
      <c r="E43">
        <v>13</v>
      </c>
      <c r="F43">
        <v>13</v>
      </c>
      <c r="H43">
        <f t="shared" si="5"/>
        <v>7</v>
      </c>
      <c r="I43">
        <v>19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0</v>
      </c>
      <c r="P43">
        <f t="shared" si="11"/>
        <v>0</v>
      </c>
      <c r="R43" t="e">
        <f t="shared" si="12"/>
        <v>#N/A</v>
      </c>
      <c r="S43" t="e" cm="1">
        <f t="array" ref="S43">INDEX($A$25:$A$325, R43, 1)</f>
        <v>#N/A</v>
      </c>
      <c r="T43" t="e">
        <f t="shared" si="13"/>
        <v>#N/A</v>
      </c>
      <c r="U43" t="e" cm="1">
        <f t="array" ref="U43">INDEX($F$25:$F$325, R43, 1)</f>
        <v>#N/A</v>
      </c>
      <c r="V43" t="e" cm="1">
        <f t="array" ref="V43">INDEX($B$25:$B$325, R43+2, 1)</f>
        <v>#N/A</v>
      </c>
      <c r="X43">
        <f t="shared" si="3"/>
        <v>0</v>
      </c>
      <c r="Y43">
        <v>0</v>
      </c>
      <c r="Z43">
        <f t="shared" si="14"/>
        <v>0</v>
      </c>
      <c r="AA43">
        <v>0</v>
      </c>
      <c r="AB43">
        <f t="shared" si="15"/>
        <v>0</v>
      </c>
      <c r="AC43">
        <v>0</v>
      </c>
      <c r="AD43">
        <f t="shared" si="16"/>
        <v>0</v>
      </c>
      <c r="AE43">
        <v>0</v>
      </c>
      <c r="AF43">
        <f t="shared" si="17"/>
        <v>0</v>
      </c>
      <c r="AG43">
        <v>0</v>
      </c>
      <c r="AH43">
        <f t="shared" si="18"/>
        <v>0</v>
      </c>
      <c r="AI43">
        <v>0</v>
      </c>
      <c r="AJ43">
        <f t="shared" si="19"/>
        <v>0</v>
      </c>
      <c r="AK43">
        <v>0</v>
      </c>
      <c r="AL43">
        <f t="shared" si="20"/>
        <v>0</v>
      </c>
      <c r="AM43">
        <v>0</v>
      </c>
      <c r="AN43">
        <f t="shared" si="21"/>
        <v>0</v>
      </c>
      <c r="AO43">
        <v>0</v>
      </c>
      <c r="AP43">
        <f t="shared" si="22"/>
        <v>0</v>
      </c>
      <c r="AQ43">
        <v>0</v>
      </c>
      <c r="AS43">
        <v>14</v>
      </c>
      <c r="AT43" cm="1">
        <f t="array" ref="AT43">IF(AT$25&gt;=$AS43, INDEX($X38:$AQ38, 1, AT$29*2), 0)</f>
        <v>0</v>
      </c>
      <c r="AU43" cm="1">
        <f t="array" ref="AU43">IF(AU$25&gt;=$AS43, INDEX($X38:$AQ38, 1, AU$29*2), 0)</f>
        <v>0</v>
      </c>
      <c r="AV43" cm="1">
        <f t="array" ref="AV43">IF(AV$25&gt;=$AS43, INDEX($X38:$AQ38, 1, AV$29*2), 0)</f>
        <v>0</v>
      </c>
      <c r="AW43" cm="1">
        <f t="array" ref="AW43">IF(AW$25&gt;=$AS43, INDEX($X38:$AQ38, 1, AW$29*2), 0)</f>
        <v>0</v>
      </c>
      <c r="AX43" cm="1">
        <f t="array" ref="AX43">IF(AX$25&gt;=$AS43, INDEX($X38:$AQ38, 1, AX$29*2), 0)</f>
        <v>0</v>
      </c>
      <c r="AY43" cm="1">
        <f t="array" ref="AY43">IF(AY$25&gt;=$AS43, INDEX($X38:$AQ38, 1, AY$29*2), 0)</f>
        <v>0</v>
      </c>
      <c r="AZ43" cm="1">
        <f t="array" ref="AZ43">IF(AZ$25&gt;=$AS43, INDEX($X38:$AQ38, 1, AZ$29*2), 0)</f>
        <v>0</v>
      </c>
      <c r="BA43" cm="1">
        <f t="array" ref="BA43">IF(BA$25&gt;=$AS43, INDEX($X38:$AQ38, 1, BA$29*2), 0)</f>
        <v>0</v>
      </c>
      <c r="BB43" cm="1">
        <f t="array" ref="BB43">IF(BB$25&gt;=$AS43, INDEX($X38:$AQ38, 1, BB$29*2), 0)</f>
        <v>0</v>
      </c>
      <c r="BC43" cm="1">
        <f t="array" ref="BC43">IF(BC$25&gt;=$AS43, INDEX($X38:$AQ38, 1, BC$29*2), 0)</f>
        <v>0</v>
      </c>
      <c r="BE43" s="6"/>
      <c r="BG43">
        <v>16</v>
      </c>
      <c r="BH43" cm="1">
        <f t="array" ref="BH43">INDEX($X$25:$AQ$128, $BG43, BH$27+1)</f>
        <v>0</v>
      </c>
      <c r="BI43" cm="1">
        <f t="array" ref="BI43">INDEX($X$25:$AQ$128, $BG43, BI$27+1)</f>
        <v>0</v>
      </c>
      <c r="BJ43" cm="1">
        <f t="array" ref="BJ43">INDEX($X$25:$AQ$128, $BG43, BJ$27+1)</f>
        <v>0</v>
      </c>
      <c r="BK43" cm="1">
        <f t="array" ref="BK43">INDEX($X$25:$AQ$128, $BG43, BK$27+1)</f>
        <v>0</v>
      </c>
      <c r="BL43" cm="1">
        <f t="array" ref="BL43">INDEX($X$25:$AQ$128, $BG43, BL$27+1)</f>
        <v>0</v>
      </c>
      <c r="BM43" cm="1">
        <f t="array" ref="BM43">INDEX($X$25:$AQ$128, $BG43, BM$27+1)</f>
        <v>0</v>
      </c>
      <c r="BN43" cm="1">
        <f t="array" ref="BN43">INDEX($X$25:$AQ$128, $BG43, BN$27+1)</f>
        <v>0</v>
      </c>
      <c r="BP43" cm="1">
        <f t="array" ref="BP43">IFERROR(INDEX(BH$28:BH$48, $BG43+BH$53, 1), 0)</f>
        <v>0</v>
      </c>
      <c r="BQ43" cm="1">
        <f t="array" ref="BQ43">IFERROR(INDEX(BI$28:BI$48, $BG43+BI$53, 1), 0)</f>
        <v>0</v>
      </c>
      <c r="BR43" cm="1">
        <f t="array" ref="BR43">IFERROR(INDEX(BJ$28:BJ$48, $BG43+BJ$53, 1), 0)</f>
        <v>0</v>
      </c>
      <c r="BS43" cm="1">
        <f t="array" ref="BS43">IFERROR(INDEX(BK$28:BK$48, $BG43+BK$53, 1), 0)</f>
        <v>0</v>
      </c>
      <c r="BT43" cm="1">
        <f t="array" ref="BT43">IFERROR(INDEX(BL$28:BL$48, $BG43+BL$53, 1), 0)</f>
        <v>0</v>
      </c>
      <c r="BU43" cm="1">
        <f t="array" ref="BU43">IFERROR(INDEX(BM$28:BM$48, $BG43+BM$53, 1), 0)</f>
        <v>0</v>
      </c>
      <c r="BV43" cm="1">
        <f t="array" ref="BV43">IFERROR(INDEX(BN$28:BN$48, $BG43+BN$53, 1), 0)</f>
        <v>0</v>
      </c>
      <c r="BX43">
        <v>0</v>
      </c>
      <c r="BY43">
        <v>0</v>
      </c>
      <c r="CA43">
        <v>18</v>
      </c>
      <c r="CB43">
        <f t="shared" si="26"/>
        <v>0</v>
      </c>
    </row>
    <row r="44" spans="1:80" x14ac:dyDescent="0.3">
      <c r="B44" t="s">
        <v>125</v>
      </c>
      <c r="H44">
        <f t="shared" si="5"/>
        <v>0</v>
      </c>
      <c r="I44">
        <v>20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0</v>
      </c>
      <c r="P44">
        <f t="shared" si="11"/>
        <v>0</v>
      </c>
      <c r="R44" t="e">
        <f t="shared" si="12"/>
        <v>#N/A</v>
      </c>
      <c r="S44" t="e" cm="1">
        <f t="array" ref="S44">INDEX($A$25:$A$325, R44, 1)</f>
        <v>#N/A</v>
      </c>
      <c r="T44" t="e">
        <f t="shared" si="13"/>
        <v>#N/A</v>
      </c>
      <c r="U44" t="e" cm="1">
        <f t="array" ref="U44">INDEX($F$25:$F$325, R44, 1)</f>
        <v>#N/A</v>
      </c>
      <c r="V44" t="e" cm="1">
        <f t="array" ref="V44">INDEX($B$25:$B$325, R44+2, 1)</f>
        <v>#N/A</v>
      </c>
      <c r="X44">
        <f t="shared" si="3"/>
        <v>0</v>
      </c>
      <c r="Y44">
        <v>0</v>
      </c>
      <c r="Z44">
        <f t="shared" si="14"/>
        <v>0</v>
      </c>
      <c r="AA44">
        <v>0</v>
      </c>
      <c r="AB44">
        <f t="shared" si="15"/>
        <v>0</v>
      </c>
      <c r="AC44">
        <v>0</v>
      </c>
      <c r="AD44">
        <f t="shared" si="16"/>
        <v>0</v>
      </c>
      <c r="AE44">
        <v>0</v>
      </c>
      <c r="AF44">
        <f t="shared" si="17"/>
        <v>0</v>
      </c>
      <c r="AG44">
        <v>0</v>
      </c>
      <c r="AH44">
        <f t="shared" si="18"/>
        <v>0</v>
      </c>
      <c r="AI44">
        <v>0</v>
      </c>
      <c r="AJ44">
        <f t="shared" si="19"/>
        <v>0</v>
      </c>
      <c r="AK44">
        <v>0</v>
      </c>
      <c r="AL44">
        <f t="shared" si="20"/>
        <v>0</v>
      </c>
      <c r="AM44">
        <v>0</v>
      </c>
      <c r="AN44">
        <f t="shared" si="21"/>
        <v>0</v>
      </c>
      <c r="AO44">
        <v>0</v>
      </c>
      <c r="AP44">
        <f t="shared" si="22"/>
        <v>0</v>
      </c>
      <c r="AQ44">
        <v>0</v>
      </c>
      <c r="AS44">
        <v>15</v>
      </c>
      <c r="AT44" cm="1">
        <f t="array" ref="AT44">IF(AT$25&gt;=$AS44, INDEX($X39:$AQ39, 1, AT$29*2), 0)</f>
        <v>0</v>
      </c>
      <c r="AU44" cm="1">
        <f t="array" ref="AU44">IF(AU$25&gt;=$AS44, INDEX($X39:$AQ39, 1, AU$29*2), 0)</f>
        <v>0</v>
      </c>
      <c r="AV44" cm="1">
        <f t="array" ref="AV44">IF(AV$25&gt;=$AS44, INDEX($X39:$AQ39, 1, AV$29*2), 0)</f>
        <v>0</v>
      </c>
      <c r="AW44" cm="1">
        <f t="array" ref="AW44">IF(AW$25&gt;=$AS44, INDEX($X39:$AQ39, 1, AW$29*2), 0)</f>
        <v>0</v>
      </c>
      <c r="AX44" cm="1">
        <f t="array" ref="AX44">IF(AX$25&gt;=$AS44, INDEX($X39:$AQ39, 1, AX$29*2), 0)</f>
        <v>0</v>
      </c>
      <c r="AY44" cm="1">
        <f t="array" ref="AY44">IF(AY$25&gt;=$AS44, INDEX($X39:$AQ39, 1, AY$29*2), 0)</f>
        <v>0</v>
      </c>
      <c r="AZ44" cm="1">
        <f t="array" ref="AZ44">IF(AZ$25&gt;=$AS44, INDEX($X39:$AQ39, 1, AZ$29*2), 0)</f>
        <v>0</v>
      </c>
      <c r="BA44" cm="1">
        <f t="array" ref="BA44">IF(BA$25&gt;=$AS44, INDEX($X39:$AQ39, 1, BA$29*2), 0)</f>
        <v>0</v>
      </c>
      <c r="BB44" cm="1">
        <f t="array" ref="BB44">IF(BB$25&gt;=$AS44, INDEX($X39:$AQ39, 1, BB$29*2), 0)</f>
        <v>0</v>
      </c>
      <c r="BC44" cm="1">
        <f t="array" ref="BC44">IF(BC$25&gt;=$AS44, INDEX($X39:$AQ39, 1, BC$29*2), 0)</f>
        <v>0</v>
      </c>
      <c r="BE44" s="6"/>
      <c r="BG44">
        <v>17</v>
      </c>
      <c r="BH44" cm="1">
        <f t="array" ref="BH44">INDEX($X$25:$AQ$128, $BG44, BH$27+1)</f>
        <v>0</v>
      </c>
      <c r="BI44" cm="1">
        <f t="array" ref="BI44">INDEX($X$25:$AQ$128, $BG44, BI$27+1)</f>
        <v>0</v>
      </c>
      <c r="BJ44" cm="1">
        <f t="array" ref="BJ44">INDEX($X$25:$AQ$128, $BG44, BJ$27+1)</f>
        <v>0</v>
      </c>
      <c r="BK44" cm="1">
        <f t="array" ref="BK44">INDEX($X$25:$AQ$128, $BG44, BK$27+1)</f>
        <v>0</v>
      </c>
      <c r="BL44" cm="1">
        <f t="array" ref="BL44">INDEX($X$25:$AQ$128, $BG44, BL$27+1)</f>
        <v>0</v>
      </c>
      <c r="BM44" cm="1">
        <f t="array" ref="BM44">INDEX($X$25:$AQ$128, $BG44, BM$27+1)</f>
        <v>0</v>
      </c>
      <c r="BN44" cm="1">
        <f t="array" ref="BN44">INDEX($X$25:$AQ$128, $BG44, BN$27+1)</f>
        <v>0</v>
      </c>
      <c r="BP44" cm="1">
        <f t="array" ref="BP44">IFERROR(INDEX(BH$28:BH$48, $BG44+BH$53, 1), 0)</f>
        <v>0</v>
      </c>
      <c r="BQ44" cm="1">
        <f t="array" ref="BQ44">IFERROR(INDEX(BI$28:BI$48, $BG44+BI$53, 1), 0)</f>
        <v>0</v>
      </c>
      <c r="BR44" cm="1">
        <f t="array" ref="BR44">IFERROR(INDEX(BJ$28:BJ$48, $BG44+BJ$53, 1), 0)</f>
        <v>0</v>
      </c>
      <c r="BS44" cm="1">
        <f t="array" ref="BS44">IFERROR(INDEX(BK$28:BK$48, $BG44+BK$53, 1), 0)</f>
        <v>0</v>
      </c>
      <c r="BT44" cm="1">
        <f t="array" ref="BT44">IFERROR(INDEX(BL$28:BL$48, $BG44+BL$53, 1), 0)</f>
        <v>0</v>
      </c>
      <c r="BU44" cm="1">
        <f t="array" ref="BU44">IFERROR(INDEX(BM$28:BM$48, $BG44+BM$53, 1), 0)</f>
        <v>0</v>
      </c>
      <c r="BV44" cm="1">
        <f t="array" ref="BV44">IFERROR(INDEX(BN$28:BN$48, $BG44+BN$53, 1), 0)</f>
        <v>0</v>
      </c>
      <c r="BX44">
        <v>0</v>
      </c>
      <c r="BY44">
        <v>0</v>
      </c>
      <c r="CA44">
        <v>19</v>
      </c>
      <c r="CB44">
        <f t="shared" si="26"/>
        <v>0</v>
      </c>
    </row>
    <row r="45" spans="1:80" x14ac:dyDescent="0.3">
      <c r="B45" t="s">
        <v>126</v>
      </c>
      <c r="H45">
        <f t="shared" si="5"/>
        <v>0</v>
      </c>
      <c r="I45">
        <v>21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0</v>
      </c>
      <c r="P45">
        <f t="shared" si="11"/>
        <v>0</v>
      </c>
      <c r="R45" t="e">
        <f t="shared" si="12"/>
        <v>#N/A</v>
      </c>
      <c r="S45" t="e" cm="1">
        <f t="array" ref="S45">INDEX($A$25:$A$325, R45, 1)</f>
        <v>#N/A</v>
      </c>
      <c r="T45" t="e">
        <f t="shared" si="13"/>
        <v>#N/A</v>
      </c>
      <c r="U45" t="e" cm="1">
        <f t="array" ref="U45">INDEX($F$25:$F$325, R45, 1)</f>
        <v>#N/A</v>
      </c>
      <c r="V45" t="e" cm="1">
        <f t="array" ref="V45">INDEX($B$25:$B$325, R45+2, 1)</f>
        <v>#N/A</v>
      </c>
      <c r="X45">
        <f t="shared" si="3"/>
        <v>0</v>
      </c>
      <c r="Y45">
        <v>0</v>
      </c>
      <c r="Z45">
        <f t="shared" si="14"/>
        <v>0</v>
      </c>
      <c r="AA45">
        <v>0</v>
      </c>
      <c r="AB45">
        <f t="shared" si="15"/>
        <v>0</v>
      </c>
      <c r="AC45">
        <v>0</v>
      </c>
      <c r="AD45">
        <f t="shared" si="16"/>
        <v>0</v>
      </c>
      <c r="AE45">
        <v>0</v>
      </c>
      <c r="AF45">
        <f t="shared" si="17"/>
        <v>0</v>
      </c>
      <c r="AG45">
        <v>0</v>
      </c>
      <c r="AH45">
        <f t="shared" si="18"/>
        <v>0</v>
      </c>
      <c r="AI45">
        <v>0</v>
      </c>
      <c r="AJ45">
        <f t="shared" si="19"/>
        <v>0</v>
      </c>
      <c r="AK45">
        <v>0</v>
      </c>
      <c r="AL45">
        <f t="shared" si="20"/>
        <v>0</v>
      </c>
      <c r="AM45">
        <v>0</v>
      </c>
      <c r="AN45">
        <f t="shared" si="21"/>
        <v>0</v>
      </c>
      <c r="AO45">
        <v>0</v>
      </c>
      <c r="AP45">
        <f t="shared" si="22"/>
        <v>0</v>
      </c>
      <c r="AQ45">
        <v>0</v>
      </c>
      <c r="AS45">
        <v>16</v>
      </c>
      <c r="AT45" cm="1">
        <f t="array" ref="AT45">IF(AT$25&gt;=$AS45, INDEX($X40:$AQ40, 1, AT$29*2), 0)</f>
        <v>0</v>
      </c>
      <c r="AU45" cm="1">
        <f t="array" ref="AU45">IF(AU$25&gt;=$AS45, INDEX($X40:$AQ40, 1, AU$29*2), 0)</f>
        <v>0</v>
      </c>
      <c r="AV45" cm="1">
        <f t="array" ref="AV45">IF(AV$25&gt;=$AS45, INDEX($X40:$AQ40, 1, AV$29*2), 0)</f>
        <v>0</v>
      </c>
      <c r="AW45" cm="1">
        <f t="array" ref="AW45">IF(AW$25&gt;=$AS45, INDEX($X40:$AQ40, 1, AW$29*2), 0)</f>
        <v>0</v>
      </c>
      <c r="AX45" cm="1">
        <f t="array" ref="AX45">IF(AX$25&gt;=$AS45, INDEX($X40:$AQ40, 1, AX$29*2), 0)</f>
        <v>0</v>
      </c>
      <c r="AY45" cm="1">
        <f t="array" ref="AY45">IF(AY$25&gt;=$AS45, INDEX($X40:$AQ40, 1, AY$29*2), 0)</f>
        <v>0</v>
      </c>
      <c r="AZ45" cm="1">
        <f t="array" ref="AZ45">IF(AZ$25&gt;=$AS45, INDEX($X40:$AQ40, 1, AZ$29*2), 0)</f>
        <v>0</v>
      </c>
      <c r="BA45" cm="1">
        <f t="array" ref="BA45">IF(BA$25&gt;=$AS45, INDEX($X40:$AQ40, 1, BA$29*2), 0)</f>
        <v>0</v>
      </c>
      <c r="BB45" cm="1">
        <f t="array" ref="BB45">IF(BB$25&gt;=$AS45, INDEX($X40:$AQ40, 1, BB$29*2), 0)</f>
        <v>0</v>
      </c>
      <c r="BC45" cm="1">
        <f t="array" ref="BC45">IF(BC$25&gt;=$AS45, INDEX($X40:$AQ40, 1, BC$29*2), 0)</f>
        <v>0</v>
      </c>
      <c r="BE45" s="6"/>
      <c r="BG45">
        <v>18</v>
      </c>
      <c r="BH45" cm="1">
        <f t="array" ref="BH45">INDEX($X$25:$AQ$128, $BG45, BH$27+1)</f>
        <v>0</v>
      </c>
      <c r="BI45" cm="1">
        <f t="array" ref="BI45">INDEX($X$25:$AQ$128, $BG45, BI$27+1)</f>
        <v>0</v>
      </c>
      <c r="BJ45" cm="1">
        <f t="array" ref="BJ45">INDEX($X$25:$AQ$128, $BG45, BJ$27+1)</f>
        <v>0</v>
      </c>
      <c r="BK45" cm="1">
        <f t="array" ref="BK45">INDEX($X$25:$AQ$128, $BG45, BK$27+1)</f>
        <v>0</v>
      </c>
      <c r="BL45" cm="1">
        <f t="array" ref="BL45">INDEX($X$25:$AQ$128, $BG45, BL$27+1)</f>
        <v>0</v>
      </c>
      <c r="BM45" cm="1">
        <f t="array" ref="BM45">INDEX($X$25:$AQ$128, $BG45, BM$27+1)</f>
        <v>0</v>
      </c>
      <c r="BN45" cm="1">
        <f t="array" ref="BN45">INDEX($X$25:$AQ$128, $BG45, BN$27+1)</f>
        <v>0</v>
      </c>
      <c r="BP45" cm="1">
        <f t="array" ref="BP45">IFERROR(INDEX(BH$28:BH$48, $BG45+BH$53, 1), 0)</f>
        <v>0</v>
      </c>
      <c r="BQ45" cm="1">
        <f t="array" ref="BQ45">IFERROR(INDEX(BI$28:BI$48, $BG45+BI$53, 1), 0)</f>
        <v>0</v>
      </c>
      <c r="BR45" cm="1">
        <f t="array" ref="BR45">IFERROR(INDEX(BJ$28:BJ$48, $BG45+BJ$53, 1), 0)</f>
        <v>0</v>
      </c>
      <c r="BS45" cm="1">
        <f t="array" ref="BS45">IFERROR(INDEX(BK$28:BK$48, $BG45+BK$53, 1), 0)</f>
        <v>0</v>
      </c>
      <c r="BT45" cm="1">
        <f t="array" ref="BT45">IFERROR(INDEX(BL$28:BL$48, $BG45+BL$53, 1), 0)</f>
        <v>0</v>
      </c>
      <c r="BU45" cm="1">
        <f t="array" ref="BU45">IFERROR(INDEX(BM$28:BM$48, $BG45+BM$53, 1), 0)</f>
        <v>0</v>
      </c>
      <c r="BV45" cm="1">
        <f t="array" ref="BV45">IFERROR(INDEX(BN$28:BN$48, $BG45+BN$53, 1), 0)</f>
        <v>0</v>
      </c>
      <c r="BX45">
        <v>0</v>
      </c>
      <c r="BY45">
        <v>0</v>
      </c>
      <c r="CA45">
        <v>20</v>
      </c>
      <c r="CB45">
        <f t="shared" si="26"/>
        <v>0</v>
      </c>
    </row>
    <row r="46" spans="1:80" x14ac:dyDescent="0.3">
      <c r="A46" t="s">
        <v>79</v>
      </c>
      <c r="B46" t="s">
        <v>129</v>
      </c>
      <c r="C46" t="s">
        <v>93</v>
      </c>
      <c r="D46" t="s">
        <v>94</v>
      </c>
      <c r="E46">
        <v>7.5</v>
      </c>
      <c r="F46">
        <v>-5</v>
      </c>
      <c r="H46">
        <f t="shared" si="5"/>
        <v>8</v>
      </c>
      <c r="I46">
        <v>22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0</v>
      </c>
      <c r="P46">
        <f t="shared" si="11"/>
        <v>0</v>
      </c>
      <c r="R46" t="e">
        <f t="shared" si="12"/>
        <v>#N/A</v>
      </c>
      <c r="S46" t="e" cm="1">
        <f t="array" ref="S46">INDEX($A$25:$A$325, R46, 1)</f>
        <v>#N/A</v>
      </c>
      <c r="T46" t="e">
        <f t="shared" si="13"/>
        <v>#N/A</v>
      </c>
      <c r="U46" t="e" cm="1">
        <f t="array" ref="U46">INDEX($F$25:$F$325, R46, 1)</f>
        <v>#N/A</v>
      </c>
      <c r="V46" t="e" cm="1">
        <f t="array" ref="V46">INDEX($B$25:$B$325, R46+2, 1)</f>
        <v>#N/A</v>
      </c>
      <c r="X46">
        <f t="shared" si="3"/>
        <v>0</v>
      </c>
      <c r="Y46">
        <v>0</v>
      </c>
      <c r="Z46">
        <f t="shared" si="14"/>
        <v>0</v>
      </c>
      <c r="AA46">
        <v>0</v>
      </c>
      <c r="AB46">
        <f t="shared" si="15"/>
        <v>0</v>
      </c>
      <c r="AC46">
        <v>0</v>
      </c>
      <c r="AD46">
        <f t="shared" si="16"/>
        <v>0</v>
      </c>
      <c r="AE46">
        <v>0</v>
      </c>
      <c r="AF46">
        <f t="shared" si="17"/>
        <v>0</v>
      </c>
      <c r="AG46">
        <v>0</v>
      </c>
      <c r="AH46">
        <f t="shared" si="18"/>
        <v>0</v>
      </c>
      <c r="AI46">
        <v>0</v>
      </c>
      <c r="AJ46">
        <f t="shared" si="19"/>
        <v>0</v>
      </c>
      <c r="AK46">
        <v>0</v>
      </c>
      <c r="AL46">
        <f t="shared" si="20"/>
        <v>0</v>
      </c>
      <c r="AM46">
        <v>0</v>
      </c>
      <c r="AN46">
        <f t="shared" si="21"/>
        <v>0</v>
      </c>
      <c r="AO46">
        <v>0</v>
      </c>
      <c r="AP46">
        <f t="shared" si="22"/>
        <v>0</v>
      </c>
      <c r="AQ46">
        <v>0</v>
      </c>
      <c r="AS46">
        <v>17</v>
      </c>
      <c r="AT46" cm="1">
        <f t="array" ref="AT46">IF(AT$25&gt;=$AS46, INDEX($X41:$AQ41, 1, AT$29*2), 0)</f>
        <v>0</v>
      </c>
      <c r="AU46" cm="1">
        <f t="array" ref="AU46">IF(AU$25&gt;=$AS46, INDEX($X41:$AQ41, 1, AU$29*2), 0)</f>
        <v>0</v>
      </c>
      <c r="AV46" cm="1">
        <f t="array" ref="AV46">IF(AV$25&gt;=$AS46, INDEX($X41:$AQ41, 1, AV$29*2), 0)</f>
        <v>0</v>
      </c>
      <c r="AW46" cm="1">
        <f t="array" ref="AW46">IF(AW$25&gt;=$AS46, INDEX($X41:$AQ41, 1, AW$29*2), 0)</f>
        <v>0</v>
      </c>
      <c r="AX46" cm="1">
        <f t="array" ref="AX46">IF(AX$25&gt;=$AS46, INDEX($X41:$AQ41, 1, AX$29*2), 0)</f>
        <v>0</v>
      </c>
      <c r="AY46" cm="1">
        <f t="array" ref="AY46">IF(AY$25&gt;=$AS46, INDEX($X41:$AQ41, 1, AY$29*2), 0)</f>
        <v>0</v>
      </c>
      <c r="AZ46" cm="1">
        <f t="array" ref="AZ46">IF(AZ$25&gt;=$AS46, INDEX($X41:$AQ41, 1, AZ$29*2), 0)</f>
        <v>0</v>
      </c>
      <c r="BA46" cm="1">
        <f t="array" ref="BA46">IF(BA$25&gt;=$AS46, INDEX($X41:$AQ41, 1, BA$29*2), 0)</f>
        <v>0</v>
      </c>
      <c r="BB46" cm="1">
        <f t="array" ref="BB46">IF(BB$25&gt;=$AS46, INDEX($X41:$AQ41, 1, BB$29*2), 0)</f>
        <v>0</v>
      </c>
      <c r="BC46" cm="1">
        <f t="array" ref="BC46">IF(BC$25&gt;=$AS46, INDEX($X41:$AQ41, 1, BC$29*2), 0)</f>
        <v>0</v>
      </c>
      <c r="BE46" s="6"/>
      <c r="BG46">
        <v>19</v>
      </c>
      <c r="BH46" cm="1">
        <f t="array" ref="BH46">INDEX($X$25:$AQ$128, $BG46, BH$27+1)</f>
        <v>0</v>
      </c>
      <c r="BI46" cm="1">
        <f t="array" ref="BI46">INDEX($X$25:$AQ$128, $BG46, BI$27+1)</f>
        <v>0</v>
      </c>
      <c r="BJ46" cm="1">
        <f t="array" ref="BJ46">INDEX($X$25:$AQ$128, $BG46, BJ$27+1)</f>
        <v>0</v>
      </c>
      <c r="BK46" cm="1">
        <f t="array" ref="BK46">INDEX($X$25:$AQ$128, $BG46, BK$27+1)</f>
        <v>0</v>
      </c>
      <c r="BL46" cm="1">
        <f t="array" ref="BL46">INDEX($X$25:$AQ$128, $BG46, BL$27+1)</f>
        <v>0</v>
      </c>
      <c r="BM46" cm="1">
        <f t="array" ref="BM46">INDEX($X$25:$AQ$128, $BG46, BM$27+1)</f>
        <v>0</v>
      </c>
      <c r="BN46" cm="1">
        <f t="array" ref="BN46">INDEX($X$25:$AQ$128, $BG46, BN$27+1)</f>
        <v>0</v>
      </c>
      <c r="BP46" cm="1">
        <f t="array" ref="BP46">IFERROR(INDEX(BH$28:BH$48, $BG46+BH$53, 1), 0)</f>
        <v>0</v>
      </c>
      <c r="BQ46" cm="1">
        <f t="array" ref="BQ46">IFERROR(INDEX(BI$28:BI$48, $BG46+BI$53, 1), 0)</f>
        <v>0</v>
      </c>
      <c r="BR46" cm="1">
        <f t="array" ref="BR46">IFERROR(INDEX(BJ$28:BJ$48, $BG46+BJ$53, 1), 0)</f>
        <v>0</v>
      </c>
      <c r="BS46" cm="1">
        <f t="array" ref="BS46">IFERROR(INDEX(BK$28:BK$48, $BG46+BK$53, 1), 0)</f>
        <v>0</v>
      </c>
      <c r="BT46" cm="1">
        <f t="array" ref="BT46">IFERROR(INDEX(BL$28:BL$48, $BG46+BL$53, 1), 0)</f>
        <v>0</v>
      </c>
      <c r="BU46" cm="1">
        <f t="array" ref="BU46">IFERROR(INDEX(BM$28:BM$48, $BG46+BM$53, 1), 0)</f>
        <v>0</v>
      </c>
      <c r="BV46" cm="1">
        <f t="array" ref="BV46">IFERROR(INDEX(BN$28:BN$48, $BG46+BN$53, 1), 0)</f>
        <v>0</v>
      </c>
      <c r="BX46">
        <v>0</v>
      </c>
      <c r="BY46">
        <v>0</v>
      </c>
      <c r="CA46">
        <v>21</v>
      </c>
      <c r="CB46">
        <f t="shared" si="26"/>
        <v>0</v>
      </c>
    </row>
    <row r="47" spans="1:80" x14ac:dyDescent="0.3">
      <c r="B47" t="s">
        <v>130</v>
      </c>
      <c r="H47">
        <f t="shared" si="5"/>
        <v>0</v>
      </c>
      <c r="I47">
        <v>23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0</v>
      </c>
      <c r="P47">
        <f t="shared" si="11"/>
        <v>0</v>
      </c>
      <c r="R47" t="e">
        <f t="shared" si="12"/>
        <v>#N/A</v>
      </c>
      <c r="S47" t="e" cm="1">
        <f t="array" ref="S47">INDEX($A$25:$A$325, R47, 1)</f>
        <v>#N/A</v>
      </c>
      <c r="T47" t="e">
        <f t="shared" si="13"/>
        <v>#N/A</v>
      </c>
      <c r="U47" t="e" cm="1">
        <f t="array" ref="U47">INDEX($F$25:$F$325, R47, 1)</f>
        <v>#N/A</v>
      </c>
      <c r="V47" t="e" cm="1">
        <f t="array" ref="V47">INDEX($B$25:$B$325, R47+2, 1)</f>
        <v>#N/A</v>
      </c>
      <c r="X47">
        <f t="shared" si="3"/>
        <v>0</v>
      </c>
      <c r="Y47">
        <v>0</v>
      </c>
      <c r="Z47">
        <f t="shared" si="14"/>
        <v>0</v>
      </c>
      <c r="AA47">
        <v>0</v>
      </c>
      <c r="AB47">
        <f t="shared" si="15"/>
        <v>0</v>
      </c>
      <c r="AC47">
        <v>0</v>
      </c>
      <c r="AD47">
        <f t="shared" si="16"/>
        <v>0</v>
      </c>
      <c r="AE47">
        <v>0</v>
      </c>
      <c r="AF47">
        <f t="shared" si="17"/>
        <v>0</v>
      </c>
      <c r="AG47">
        <v>0</v>
      </c>
      <c r="AH47">
        <f t="shared" si="18"/>
        <v>0</v>
      </c>
      <c r="AI47">
        <v>0</v>
      </c>
      <c r="AJ47">
        <f t="shared" si="19"/>
        <v>0</v>
      </c>
      <c r="AK47">
        <v>0</v>
      </c>
      <c r="AL47">
        <f t="shared" si="20"/>
        <v>0</v>
      </c>
      <c r="AM47">
        <v>0</v>
      </c>
      <c r="AN47">
        <f t="shared" si="21"/>
        <v>0</v>
      </c>
      <c r="AO47">
        <v>0</v>
      </c>
      <c r="AP47">
        <f t="shared" si="22"/>
        <v>0</v>
      </c>
      <c r="AQ47">
        <v>0</v>
      </c>
      <c r="AS47">
        <v>18</v>
      </c>
      <c r="AT47" cm="1">
        <f t="array" ref="AT47">IF(AT$25&gt;=$AS47, INDEX($X42:$AQ42, 1, AT$29*2), 0)</f>
        <v>0</v>
      </c>
      <c r="AU47" cm="1">
        <f t="array" ref="AU47">IF(AU$25&gt;=$AS47, INDEX($X42:$AQ42, 1, AU$29*2), 0)</f>
        <v>0</v>
      </c>
      <c r="AV47" cm="1">
        <f t="array" ref="AV47">IF(AV$25&gt;=$AS47, INDEX($X42:$AQ42, 1, AV$29*2), 0)</f>
        <v>0</v>
      </c>
      <c r="AW47" cm="1">
        <f t="array" ref="AW47">IF(AW$25&gt;=$AS47, INDEX($X42:$AQ42, 1, AW$29*2), 0)</f>
        <v>0</v>
      </c>
      <c r="AX47" cm="1">
        <f t="array" ref="AX47">IF(AX$25&gt;=$AS47, INDEX($X42:$AQ42, 1, AX$29*2), 0)</f>
        <v>0</v>
      </c>
      <c r="AY47" cm="1">
        <f t="array" ref="AY47">IF(AY$25&gt;=$AS47, INDEX($X42:$AQ42, 1, AY$29*2), 0)</f>
        <v>0</v>
      </c>
      <c r="AZ47" cm="1">
        <f t="array" ref="AZ47">IF(AZ$25&gt;=$AS47, INDEX($X42:$AQ42, 1, AZ$29*2), 0)</f>
        <v>0</v>
      </c>
      <c r="BA47" cm="1">
        <f t="array" ref="BA47">IF(BA$25&gt;=$AS47, INDEX($X42:$AQ42, 1, BA$29*2), 0)</f>
        <v>0</v>
      </c>
      <c r="BB47" cm="1">
        <f t="array" ref="BB47">IF(BB$25&gt;=$AS47, INDEX($X42:$AQ42, 1, BB$29*2), 0)</f>
        <v>0</v>
      </c>
      <c r="BC47" cm="1">
        <f t="array" ref="BC47">IF(BC$25&gt;=$AS47, INDEX($X42:$AQ42, 1, BC$29*2), 0)</f>
        <v>0</v>
      </c>
      <c r="BE47" s="6"/>
      <c r="BG47">
        <v>20</v>
      </c>
      <c r="BH47" cm="1">
        <f t="array" ref="BH47">INDEX($X$25:$AQ$128, $BG47, BH$27+1)</f>
        <v>0</v>
      </c>
      <c r="BI47" cm="1">
        <f t="array" ref="BI47">INDEX($X$25:$AQ$128, $BG47, BI$27+1)</f>
        <v>0</v>
      </c>
      <c r="BJ47" cm="1">
        <f t="array" ref="BJ47">INDEX($X$25:$AQ$128, $BG47, BJ$27+1)</f>
        <v>0</v>
      </c>
      <c r="BK47" cm="1">
        <f t="array" ref="BK47">INDEX($X$25:$AQ$128, $BG47, BK$27+1)</f>
        <v>0</v>
      </c>
      <c r="BL47" cm="1">
        <f t="array" ref="BL47">INDEX($X$25:$AQ$128, $BG47, BL$27+1)</f>
        <v>0</v>
      </c>
      <c r="BM47" cm="1">
        <f t="array" ref="BM47">INDEX($X$25:$AQ$128, $BG47, BM$27+1)</f>
        <v>0</v>
      </c>
      <c r="BN47" cm="1">
        <f t="array" ref="BN47">INDEX($X$25:$AQ$128, $BG47, BN$27+1)</f>
        <v>0</v>
      </c>
      <c r="BP47" cm="1">
        <f t="array" ref="BP47">IFERROR(INDEX(BH$28:BH$48, $BG47+BH$53, 1), 0)</f>
        <v>0</v>
      </c>
      <c r="BQ47" cm="1">
        <f t="array" ref="BQ47">IFERROR(INDEX(BI$28:BI$48, $BG47+BI$53, 1), 0)</f>
        <v>0</v>
      </c>
      <c r="BR47" cm="1">
        <f t="array" ref="BR47">IFERROR(INDEX(BJ$28:BJ$48, $BG47+BJ$53, 1), 0)</f>
        <v>0</v>
      </c>
      <c r="BS47" cm="1">
        <f t="array" ref="BS47">IFERROR(INDEX(BK$28:BK$48, $BG47+BK$53, 1), 0)</f>
        <v>0</v>
      </c>
      <c r="BT47" cm="1">
        <f t="array" ref="BT47">IFERROR(INDEX(BL$28:BL$48, $BG47+BL$53, 1), 0)</f>
        <v>0</v>
      </c>
      <c r="BU47" cm="1">
        <f t="array" ref="BU47">IFERROR(INDEX(BM$28:BM$48, $BG47+BM$53, 1), 0)</f>
        <v>0</v>
      </c>
      <c r="BV47" cm="1">
        <f t="array" ref="BV47">IFERROR(INDEX(BN$28:BN$48, $BG47+BN$53, 1), 0)</f>
        <v>0</v>
      </c>
      <c r="BX47">
        <v>0</v>
      </c>
      <c r="BY47">
        <v>0</v>
      </c>
      <c r="CA47">
        <v>22</v>
      </c>
      <c r="CB47">
        <f t="shared" si="26"/>
        <v>0</v>
      </c>
    </row>
    <row r="48" spans="1:80" x14ac:dyDescent="0.3">
      <c r="B48" t="s">
        <v>131</v>
      </c>
      <c r="H48">
        <f t="shared" si="5"/>
        <v>0</v>
      </c>
      <c r="I48">
        <v>24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0</v>
      </c>
      <c r="P48">
        <f t="shared" si="11"/>
        <v>0</v>
      </c>
      <c r="R48" t="e">
        <f t="shared" si="12"/>
        <v>#N/A</v>
      </c>
      <c r="S48" t="e" cm="1">
        <f t="array" ref="S48">INDEX($A$25:$A$325, R48, 1)</f>
        <v>#N/A</v>
      </c>
      <c r="T48" t="e">
        <f t="shared" si="13"/>
        <v>#N/A</v>
      </c>
      <c r="U48" t="e" cm="1">
        <f t="array" ref="U48">INDEX($F$25:$F$325, R48, 1)</f>
        <v>#N/A</v>
      </c>
      <c r="V48" t="e" cm="1">
        <f t="array" ref="V48">INDEX($B$25:$B$325, R48+2, 1)</f>
        <v>#N/A</v>
      </c>
      <c r="X48">
        <f t="shared" si="3"/>
        <v>0</v>
      </c>
      <c r="Y48">
        <v>0</v>
      </c>
      <c r="Z48">
        <f t="shared" si="14"/>
        <v>0</v>
      </c>
      <c r="AA48">
        <v>0</v>
      </c>
      <c r="AB48">
        <f t="shared" si="15"/>
        <v>0</v>
      </c>
      <c r="AC48">
        <v>0</v>
      </c>
      <c r="AD48">
        <f t="shared" si="16"/>
        <v>0</v>
      </c>
      <c r="AE48">
        <v>0</v>
      </c>
      <c r="AF48">
        <f t="shared" si="17"/>
        <v>0</v>
      </c>
      <c r="AG48">
        <v>0</v>
      </c>
      <c r="AH48">
        <f t="shared" si="18"/>
        <v>0</v>
      </c>
      <c r="AI48">
        <v>0</v>
      </c>
      <c r="AJ48">
        <f t="shared" si="19"/>
        <v>0</v>
      </c>
      <c r="AK48">
        <v>0</v>
      </c>
      <c r="AL48">
        <f t="shared" si="20"/>
        <v>0</v>
      </c>
      <c r="AM48">
        <v>0</v>
      </c>
      <c r="AN48">
        <f t="shared" si="21"/>
        <v>0</v>
      </c>
      <c r="AO48">
        <v>0</v>
      </c>
      <c r="AP48">
        <f t="shared" si="22"/>
        <v>0</v>
      </c>
      <c r="AQ48">
        <v>0</v>
      </c>
      <c r="AS48">
        <v>19</v>
      </c>
      <c r="AT48" cm="1">
        <f t="array" ref="AT48">IF(AT$25&gt;=$AS48, INDEX($X43:$AQ43, 1, AT$29*2), 0)</f>
        <v>0</v>
      </c>
      <c r="AU48" cm="1">
        <f t="array" ref="AU48">IF(AU$25&gt;=$AS48, INDEX($X43:$AQ43, 1, AU$29*2), 0)</f>
        <v>0</v>
      </c>
      <c r="AV48" cm="1">
        <f t="array" ref="AV48">IF(AV$25&gt;=$AS48, INDEX($X43:$AQ43, 1, AV$29*2), 0)</f>
        <v>0</v>
      </c>
      <c r="AW48" cm="1">
        <f t="array" ref="AW48">IF(AW$25&gt;=$AS48, INDEX($X43:$AQ43, 1, AW$29*2), 0)</f>
        <v>0</v>
      </c>
      <c r="AX48" cm="1">
        <f t="array" ref="AX48">IF(AX$25&gt;=$AS48, INDEX($X43:$AQ43, 1, AX$29*2), 0)</f>
        <v>0</v>
      </c>
      <c r="AY48" cm="1">
        <f t="array" ref="AY48">IF(AY$25&gt;=$AS48, INDEX($X43:$AQ43, 1, AY$29*2), 0)</f>
        <v>0</v>
      </c>
      <c r="AZ48" cm="1">
        <f t="array" ref="AZ48">IF(AZ$25&gt;=$AS48, INDEX($X43:$AQ43, 1, AZ$29*2), 0)</f>
        <v>0</v>
      </c>
      <c r="BA48" cm="1">
        <f t="array" ref="BA48">IF(BA$25&gt;=$AS48, INDEX($X43:$AQ43, 1, BA$29*2), 0)</f>
        <v>0</v>
      </c>
      <c r="BB48" cm="1">
        <f t="array" ref="BB48">IF(BB$25&gt;=$AS48, INDEX($X43:$AQ43, 1, BB$29*2), 0)</f>
        <v>0</v>
      </c>
      <c r="BC48" cm="1">
        <f t="array" ref="BC48">IF(BC$25&gt;=$AS48, INDEX($X43:$AQ43, 1, BC$29*2), 0)</f>
        <v>0</v>
      </c>
      <c r="BE48" s="6"/>
      <c r="BG48">
        <v>21</v>
      </c>
      <c r="BH48" cm="1">
        <f t="array" ref="BH48">INDEX($X$25:$AQ$128, $BG48, BH$27+1)</f>
        <v>0</v>
      </c>
      <c r="BI48" cm="1">
        <f t="array" ref="BI48">INDEX($X$25:$AQ$128, $BG48, BI$27+1)</f>
        <v>0</v>
      </c>
      <c r="BJ48" cm="1">
        <f t="array" ref="BJ48">INDEX($X$25:$AQ$128, $BG48, BJ$27+1)</f>
        <v>0</v>
      </c>
      <c r="BK48" cm="1">
        <f t="array" ref="BK48">INDEX($X$25:$AQ$128, $BG48, BK$27+1)</f>
        <v>0</v>
      </c>
      <c r="BL48" cm="1">
        <f t="array" ref="BL48">INDEX($X$25:$AQ$128, $BG48, BL$27+1)</f>
        <v>0</v>
      </c>
      <c r="BM48" cm="1">
        <f t="array" ref="BM48">INDEX($X$25:$AQ$128, $BG48, BM$27+1)</f>
        <v>0</v>
      </c>
      <c r="BN48" cm="1">
        <f t="array" ref="BN48">INDEX($X$25:$AQ$128, $BG48, BN$27+1)</f>
        <v>0</v>
      </c>
      <c r="BP48" cm="1">
        <f t="array" ref="BP48">IFERROR(INDEX(BH$28:BH$48, $BG48+BH$53, 1), 0)</f>
        <v>0</v>
      </c>
      <c r="BQ48" cm="1">
        <f t="array" ref="BQ48">IFERROR(INDEX(BI$28:BI$48, $BG48+BI$53, 1), 0)</f>
        <v>0</v>
      </c>
      <c r="BR48" cm="1">
        <f t="array" ref="BR48">IFERROR(INDEX(BJ$28:BJ$48, $BG48+BJ$53, 1), 0)</f>
        <v>0</v>
      </c>
      <c r="BS48" cm="1">
        <f t="array" ref="BS48">IFERROR(INDEX(BK$28:BK$48, $BG48+BK$53, 1), 0)</f>
        <v>0</v>
      </c>
      <c r="BT48" cm="1">
        <f t="array" ref="BT48">IFERROR(INDEX(BL$28:BL$48, $BG48+BL$53, 1), 0)</f>
        <v>0</v>
      </c>
      <c r="BU48" cm="1">
        <f t="array" ref="BU48">IFERROR(INDEX(BM$28:BM$48, $BG48+BM$53, 1), 0)</f>
        <v>0</v>
      </c>
      <c r="BV48" cm="1">
        <f t="array" ref="BV48">IFERROR(INDEX(BN$28:BN$48, $BG48+BN$53, 1), 0)</f>
        <v>0</v>
      </c>
      <c r="BX48">
        <v>5.5</v>
      </c>
      <c r="BY48">
        <v>0</v>
      </c>
      <c r="CA48">
        <v>23</v>
      </c>
      <c r="CB48">
        <f t="shared" si="26"/>
        <v>0</v>
      </c>
    </row>
    <row r="49" spans="1:80" x14ac:dyDescent="0.3">
      <c r="A49" t="s">
        <v>74</v>
      </c>
      <c r="B49" t="s">
        <v>132</v>
      </c>
      <c r="C49" t="s">
        <v>96</v>
      </c>
      <c r="D49" t="s">
        <v>97</v>
      </c>
      <c r="E49">
        <v>8.3000000000000007</v>
      </c>
      <c r="F49">
        <v>6</v>
      </c>
      <c r="H49">
        <f t="shared" si="5"/>
        <v>9</v>
      </c>
      <c r="I49">
        <v>25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0</v>
      </c>
      <c r="P49">
        <f t="shared" si="11"/>
        <v>0</v>
      </c>
      <c r="R49" t="e">
        <f t="shared" si="12"/>
        <v>#N/A</v>
      </c>
      <c r="S49" t="e" cm="1">
        <f t="array" ref="S49">INDEX($A$25:$A$325, R49, 1)</f>
        <v>#N/A</v>
      </c>
      <c r="T49" t="e">
        <f t="shared" si="13"/>
        <v>#N/A</v>
      </c>
      <c r="U49" t="e" cm="1">
        <f t="array" ref="U49">INDEX($F$25:$F$325, R49, 1)</f>
        <v>#N/A</v>
      </c>
      <c r="V49" t="e" cm="1">
        <f t="array" ref="V49">INDEX($B$25:$B$325, R49+2, 1)</f>
        <v>#N/A</v>
      </c>
      <c r="X49">
        <f t="shared" si="3"/>
        <v>0</v>
      </c>
      <c r="Y49">
        <v>0</v>
      </c>
      <c r="Z49">
        <f t="shared" si="14"/>
        <v>0</v>
      </c>
      <c r="AA49">
        <v>0</v>
      </c>
      <c r="AB49">
        <f t="shared" si="15"/>
        <v>0</v>
      </c>
      <c r="AC49">
        <v>0</v>
      </c>
      <c r="AD49">
        <f t="shared" si="16"/>
        <v>0</v>
      </c>
      <c r="AE49">
        <v>0</v>
      </c>
      <c r="AF49">
        <f t="shared" si="17"/>
        <v>0</v>
      </c>
      <c r="AG49">
        <v>0</v>
      </c>
      <c r="AH49">
        <f t="shared" si="18"/>
        <v>0</v>
      </c>
      <c r="AI49">
        <v>0</v>
      </c>
      <c r="AJ49">
        <f t="shared" si="19"/>
        <v>0</v>
      </c>
      <c r="AK49">
        <v>0</v>
      </c>
      <c r="AL49">
        <f t="shared" si="20"/>
        <v>0</v>
      </c>
      <c r="AM49">
        <v>0</v>
      </c>
      <c r="AN49">
        <f t="shared" si="21"/>
        <v>0</v>
      </c>
      <c r="AO49">
        <v>0</v>
      </c>
      <c r="AP49">
        <f t="shared" si="22"/>
        <v>0</v>
      </c>
      <c r="AQ49">
        <v>0</v>
      </c>
      <c r="BE49" s="6"/>
      <c r="BX49">
        <v>0</v>
      </c>
      <c r="BY49">
        <v>0</v>
      </c>
      <c r="CA49">
        <v>24</v>
      </c>
      <c r="CB49">
        <f t="shared" si="26"/>
        <v>0</v>
      </c>
    </row>
    <row r="50" spans="1:80" x14ac:dyDescent="0.3">
      <c r="B50" t="s">
        <v>133</v>
      </c>
      <c r="H50">
        <f t="shared" si="5"/>
        <v>0</v>
      </c>
      <c r="I50">
        <v>26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0</v>
      </c>
      <c r="P50">
        <f t="shared" si="11"/>
        <v>0</v>
      </c>
      <c r="R50" t="e">
        <f t="shared" si="12"/>
        <v>#N/A</v>
      </c>
      <c r="S50" t="e" cm="1">
        <f t="array" ref="S50">INDEX($A$25:$A$325, R50, 1)</f>
        <v>#N/A</v>
      </c>
      <c r="T50" t="e">
        <f t="shared" si="13"/>
        <v>#N/A</v>
      </c>
      <c r="U50" t="e" cm="1">
        <f t="array" ref="U50">INDEX($F$25:$F$325, R50, 1)</f>
        <v>#N/A</v>
      </c>
      <c r="V50" t="e" cm="1">
        <f t="array" ref="V50">INDEX($B$25:$B$325, R50+2, 1)</f>
        <v>#N/A</v>
      </c>
      <c r="X50">
        <f t="shared" si="3"/>
        <v>0</v>
      </c>
      <c r="Y50">
        <v>0</v>
      </c>
      <c r="Z50">
        <f t="shared" si="14"/>
        <v>0</v>
      </c>
      <c r="AA50">
        <v>0</v>
      </c>
      <c r="AB50">
        <f t="shared" si="15"/>
        <v>0</v>
      </c>
      <c r="AC50">
        <v>0</v>
      </c>
      <c r="AD50">
        <f t="shared" si="16"/>
        <v>0</v>
      </c>
      <c r="AE50">
        <v>0</v>
      </c>
      <c r="AF50">
        <f t="shared" si="17"/>
        <v>0</v>
      </c>
      <c r="AG50">
        <v>0</v>
      </c>
      <c r="AH50">
        <f t="shared" si="18"/>
        <v>0</v>
      </c>
      <c r="AI50">
        <v>0</v>
      </c>
      <c r="AJ50">
        <f t="shared" si="19"/>
        <v>0</v>
      </c>
      <c r="AK50">
        <v>0</v>
      </c>
      <c r="AL50">
        <f t="shared" si="20"/>
        <v>0</v>
      </c>
      <c r="AM50">
        <v>0</v>
      </c>
      <c r="AN50">
        <f t="shared" si="21"/>
        <v>0</v>
      </c>
      <c r="AO50">
        <v>0</v>
      </c>
      <c r="AP50">
        <f t="shared" si="22"/>
        <v>0</v>
      </c>
      <c r="AQ50">
        <v>0</v>
      </c>
      <c r="BE50" s="6"/>
      <c r="BX50">
        <v>0</v>
      </c>
      <c r="BY50">
        <v>0</v>
      </c>
      <c r="CA50">
        <v>25</v>
      </c>
      <c r="CB50">
        <f t="shared" si="26"/>
        <v>0</v>
      </c>
    </row>
    <row r="51" spans="1:80" x14ac:dyDescent="0.3">
      <c r="B51" t="s">
        <v>134</v>
      </c>
      <c r="H51">
        <f t="shared" si="5"/>
        <v>0</v>
      </c>
      <c r="I51">
        <v>27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0</v>
      </c>
      <c r="P51">
        <f t="shared" si="11"/>
        <v>0</v>
      </c>
      <c r="R51" t="e">
        <f t="shared" si="12"/>
        <v>#N/A</v>
      </c>
      <c r="S51" t="e" cm="1">
        <f t="array" ref="S51">INDEX($A$25:$A$325, R51, 1)</f>
        <v>#N/A</v>
      </c>
      <c r="T51" t="e">
        <f t="shared" si="13"/>
        <v>#N/A</v>
      </c>
      <c r="U51" t="e" cm="1">
        <f t="array" ref="U51">INDEX($F$25:$F$325, R51, 1)</f>
        <v>#N/A</v>
      </c>
      <c r="V51" t="e" cm="1">
        <f t="array" ref="V51">INDEX($B$25:$B$325, R51+2, 1)</f>
        <v>#N/A</v>
      </c>
      <c r="X51">
        <f t="shared" si="3"/>
        <v>0</v>
      </c>
      <c r="Y51">
        <v>0</v>
      </c>
      <c r="Z51">
        <f t="shared" si="14"/>
        <v>0</v>
      </c>
      <c r="AA51">
        <v>0</v>
      </c>
      <c r="AB51">
        <f t="shared" si="15"/>
        <v>0</v>
      </c>
      <c r="AC51">
        <v>0</v>
      </c>
      <c r="AD51">
        <f t="shared" si="16"/>
        <v>0</v>
      </c>
      <c r="AE51">
        <v>0</v>
      </c>
      <c r="AF51">
        <f t="shared" si="17"/>
        <v>0</v>
      </c>
      <c r="AG51">
        <v>0</v>
      </c>
      <c r="AH51">
        <f t="shared" si="18"/>
        <v>0</v>
      </c>
      <c r="AI51">
        <v>0</v>
      </c>
      <c r="AJ51">
        <f t="shared" si="19"/>
        <v>0</v>
      </c>
      <c r="AK51">
        <v>0</v>
      </c>
      <c r="AL51">
        <f t="shared" si="20"/>
        <v>0</v>
      </c>
      <c r="AM51">
        <v>0</v>
      </c>
      <c r="AN51">
        <f t="shared" si="21"/>
        <v>0</v>
      </c>
      <c r="AO51">
        <v>0</v>
      </c>
      <c r="AP51">
        <f t="shared" si="22"/>
        <v>0</v>
      </c>
      <c r="AQ51">
        <v>0</v>
      </c>
      <c r="BE51" s="6"/>
      <c r="BG51" t="s">
        <v>182</v>
      </c>
      <c r="BX51">
        <v>0</v>
      </c>
      <c r="BY51">
        <v>0</v>
      </c>
      <c r="CA51">
        <v>26</v>
      </c>
      <c r="CB51">
        <f t="shared" si="26"/>
        <v>0</v>
      </c>
    </row>
    <row r="52" spans="1:80" x14ac:dyDescent="0.3">
      <c r="C52" t="s">
        <v>80</v>
      </c>
      <c r="E52">
        <v>109.3</v>
      </c>
      <c r="F52">
        <v>121.86</v>
      </c>
      <c r="H52">
        <f t="shared" si="5"/>
        <v>0</v>
      </c>
      <c r="I52">
        <v>28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0</v>
      </c>
      <c r="P52">
        <f t="shared" si="11"/>
        <v>0</v>
      </c>
      <c r="R52" t="e">
        <f t="shared" si="12"/>
        <v>#N/A</v>
      </c>
      <c r="S52" t="e" cm="1">
        <f t="array" ref="S52">INDEX($A$25:$A$325, R52, 1)</f>
        <v>#N/A</v>
      </c>
      <c r="T52" t="e">
        <f t="shared" si="13"/>
        <v>#N/A</v>
      </c>
      <c r="U52" t="e" cm="1">
        <f t="array" ref="U52">INDEX($F$25:$F$325, R52, 1)</f>
        <v>#N/A</v>
      </c>
      <c r="V52" t="e" cm="1">
        <f t="array" ref="V52">INDEX($B$25:$B$325, R52+2, 1)</f>
        <v>#N/A</v>
      </c>
      <c r="X52">
        <f t="shared" si="3"/>
        <v>0</v>
      </c>
      <c r="Y52">
        <v>0</v>
      </c>
      <c r="Z52">
        <f t="shared" si="14"/>
        <v>0</v>
      </c>
      <c r="AA52">
        <v>0</v>
      </c>
      <c r="AB52">
        <f t="shared" si="15"/>
        <v>0</v>
      </c>
      <c r="AC52">
        <v>0</v>
      </c>
      <c r="AD52">
        <f t="shared" si="16"/>
        <v>0</v>
      </c>
      <c r="AE52">
        <v>0</v>
      </c>
      <c r="AF52">
        <f t="shared" si="17"/>
        <v>0</v>
      </c>
      <c r="AG52">
        <v>0</v>
      </c>
      <c r="AH52">
        <f t="shared" si="18"/>
        <v>0</v>
      </c>
      <c r="AI52">
        <v>0</v>
      </c>
      <c r="AJ52">
        <f t="shared" si="19"/>
        <v>0</v>
      </c>
      <c r="AK52">
        <v>0</v>
      </c>
      <c r="AL52">
        <f t="shared" si="20"/>
        <v>0</v>
      </c>
      <c r="AM52">
        <v>0</v>
      </c>
      <c r="AN52">
        <f t="shared" si="21"/>
        <v>0</v>
      </c>
      <c r="AO52">
        <v>0</v>
      </c>
      <c r="AP52">
        <f t="shared" si="22"/>
        <v>0</v>
      </c>
      <c r="AQ52">
        <v>0</v>
      </c>
      <c r="BE52" s="6"/>
      <c r="BH52" t="str">
        <f>BH26</f>
        <v>RB</v>
      </c>
      <c r="BI52" t="str">
        <f t="shared" ref="BI52:BN52" si="28">BI26</f>
        <v>WR</v>
      </c>
      <c r="BJ52" t="str">
        <f t="shared" si="28"/>
        <v>TE</v>
      </c>
      <c r="BK52">
        <f t="shared" si="28"/>
        <v>0</v>
      </c>
      <c r="BL52">
        <f t="shared" si="28"/>
        <v>0</v>
      </c>
      <c r="BM52">
        <f t="shared" si="28"/>
        <v>0</v>
      </c>
      <c r="BN52">
        <f t="shared" si="28"/>
        <v>0</v>
      </c>
      <c r="BX52">
        <v>0</v>
      </c>
      <c r="BY52">
        <v>0</v>
      </c>
      <c r="CA52">
        <v>27</v>
      </c>
      <c r="CB52">
        <f t="shared" si="26"/>
        <v>0</v>
      </c>
    </row>
    <row r="53" spans="1:80" x14ac:dyDescent="0.3">
      <c r="A53" t="s">
        <v>81</v>
      </c>
      <c r="B53" t="s">
        <v>135</v>
      </c>
      <c r="C53" t="s">
        <v>98</v>
      </c>
      <c r="D53" t="s">
        <v>99</v>
      </c>
      <c r="E53">
        <v>11.4</v>
      </c>
      <c r="F53">
        <v>7.1</v>
      </c>
      <c r="H53">
        <f t="shared" si="5"/>
        <v>10</v>
      </c>
      <c r="I53">
        <v>29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0</v>
      </c>
      <c r="P53">
        <f t="shared" si="11"/>
        <v>0</v>
      </c>
      <c r="R53" t="e">
        <f t="shared" si="12"/>
        <v>#N/A</v>
      </c>
      <c r="S53" t="e" cm="1">
        <f t="array" ref="S53">INDEX($A$25:$A$325, R53, 1)</f>
        <v>#N/A</v>
      </c>
      <c r="T53" t="e">
        <f t="shared" si="13"/>
        <v>#N/A</v>
      </c>
      <c r="U53" t="e" cm="1">
        <f t="array" ref="U53">INDEX($F$25:$F$325, R53, 1)</f>
        <v>#N/A</v>
      </c>
      <c r="V53" t="e" cm="1">
        <f t="array" ref="V53">INDEX($B$25:$B$325, R53+2, 1)</f>
        <v>#N/A</v>
      </c>
      <c r="X53">
        <f t="shared" si="3"/>
        <v>0</v>
      </c>
      <c r="Y53">
        <v>0</v>
      </c>
      <c r="Z53">
        <f t="shared" si="14"/>
        <v>0</v>
      </c>
      <c r="AA53">
        <v>0</v>
      </c>
      <c r="AB53">
        <f t="shared" si="15"/>
        <v>0</v>
      </c>
      <c r="AC53">
        <v>0</v>
      </c>
      <c r="AD53">
        <f t="shared" si="16"/>
        <v>0</v>
      </c>
      <c r="AE53">
        <v>0</v>
      </c>
      <c r="AF53">
        <f t="shared" si="17"/>
        <v>0</v>
      </c>
      <c r="AG53">
        <v>0</v>
      </c>
      <c r="AH53">
        <f t="shared" si="18"/>
        <v>0</v>
      </c>
      <c r="AI53">
        <v>0</v>
      </c>
      <c r="AJ53">
        <f t="shared" si="19"/>
        <v>0</v>
      </c>
      <c r="AK53">
        <v>0</v>
      </c>
      <c r="AL53">
        <f t="shared" si="20"/>
        <v>0</v>
      </c>
      <c r="AM53">
        <v>0</v>
      </c>
      <c r="AN53">
        <f t="shared" si="21"/>
        <v>0</v>
      </c>
      <c r="AO53">
        <v>0</v>
      </c>
      <c r="AP53">
        <f t="shared" si="22"/>
        <v>0</v>
      </c>
      <c r="AQ53">
        <v>0</v>
      </c>
      <c r="BE53" s="6"/>
      <c r="BH53">
        <f>VLOOKUP(BH52,_xlfn.ANCHORARRAY($BG57), 2, FALSE)</f>
        <v>2</v>
      </c>
      <c r="BI53">
        <f t="shared" ref="BI53:BN53" si="29">VLOOKUP(BI52,_xlfn.ANCHORARRAY($BG57), 2, FALSE)</f>
        <v>2</v>
      </c>
      <c r="BJ53">
        <f t="shared" si="29"/>
        <v>1</v>
      </c>
      <c r="BK53">
        <f t="shared" si="29"/>
        <v>88</v>
      </c>
      <c r="BL53">
        <f t="shared" si="29"/>
        <v>88</v>
      </c>
      <c r="BM53">
        <f t="shared" si="29"/>
        <v>88</v>
      </c>
      <c r="BN53">
        <f t="shared" si="29"/>
        <v>88</v>
      </c>
      <c r="BX53">
        <v>0</v>
      </c>
      <c r="BY53">
        <v>0</v>
      </c>
      <c r="CA53">
        <v>28</v>
      </c>
      <c r="CB53">
        <f t="shared" si="26"/>
        <v>0</v>
      </c>
    </row>
    <row r="54" spans="1:80" x14ac:dyDescent="0.3">
      <c r="B54" t="s">
        <v>136</v>
      </c>
      <c r="H54">
        <f t="shared" si="5"/>
        <v>0</v>
      </c>
      <c r="I54">
        <v>30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0</v>
      </c>
      <c r="P54">
        <f t="shared" si="11"/>
        <v>0</v>
      </c>
      <c r="R54" t="e">
        <f t="shared" si="12"/>
        <v>#N/A</v>
      </c>
      <c r="S54" t="e" cm="1">
        <f t="array" ref="S54">INDEX($A$25:$A$325, R54, 1)</f>
        <v>#N/A</v>
      </c>
      <c r="T54" t="e">
        <f t="shared" si="13"/>
        <v>#N/A</v>
      </c>
      <c r="U54" t="e" cm="1">
        <f t="array" ref="U54">INDEX($F$25:$F$325, R54, 1)</f>
        <v>#N/A</v>
      </c>
      <c r="V54" t="e" cm="1">
        <f t="array" ref="V54">INDEX($B$25:$B$325, R54+2, 1)</f>
        <v>#N/A</v>
      </c>
      <c r="X54">
        <f t="shared" si="3"/>
        <v>0</v>
      </c>
      <c r="Y54">
        <v>0</v>
      </c>
      <c r="Z54">
        <f t="shared" si="14"/>
        <v>0</v>
      </c>
      <c r="AA54">
        <v>0</v>
      </c>
      <c r="AB54">
        <f t="shared" si="15"/>
        <v>0</v>
      </c>
      <c r="AC54">
        <v>0</v>
      </c>
      <c r="AD54">
        <f t="shared" si="16"/>
        <v>0</v>
      </c>
      <c r="AE54">
        <v>0</v>
      </c>
      <c r="AF54">
        <f t="shared" si="17"/>
        <v>0</v>
      </c>
      <c r="AG54">
        <v>0</v>
      </c>
      <c r="AH54">
        <f t="shared" si="18"/>
        <v>0</v>
      </c>
      <c r="AI54">
        <v>0</v>
      </c>
      <c r="AJ54">
        <f t="shared" si="19"/>
        <v>0</v>
      </c>
      <c r="AK54">
        <v>0</v>
      </c>
      <c r="AL54">
        <f t="shared" si="20"/>
        <v>0</v>
      </c>
      <c r="AM54">
        <v>0</v>
      </c>
      <c r="AN54">
        <f t="shared" si="21"/>
        <v>0</v>
      </c>
      <c r="AO54">
        <v>0</v>
      </c>
      <c r="AP54">
        <f t="shared" si="22"/>
        <v>0</v>
      </c>
      <c r="AQ54">
        <v>0</v>
      </c>
      <c r="BE54" s="6"/>
      <c r="BX54">
        <v>0</v>
      </c>
      <c r="BY54">
        <v>0</v>
      </c>
      <c r="CA54">
        <v>29</v>
      </c>
      <c r="CB54">
        <f t="shared" si="26"/>
        <v>0</v>
      </c>
    </row>
    <row r="55" spans="1:80" x14ac:dyDescent="0.3">
      <c r="B55" t="s">
        <v>137</v>
      </c>
      <c r="H55">
        <f t="shared" si="5"/>
        <v>0</v>
      </c>
      <c r="I55">
        <v>31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0</v>
      </c>
      <c r="P55">
        <f t="shared" si="11"/>
        <v>0</v>
      </c>
      <c r="R55" t="e">
        <f t="shared" si="12"/>
        <v>#N/A</v>
      </c>
      <c r="S55" t="e" cm="1">
        <f t="array" ref="S55">INDEX($A$25:$A$325, R55, 1)</f>
        <v>#N/A</v>
      </c>
      <c r="T55" t="e">
        <f t="shared" si="13"/>
        <v>#N/A</v>
      </c>
      <c r="U55" t="e" cm="1">
        <f t="array" ref="U55">INDEX($F$25:$F$325, R55, 1)</f>
        <v>#N/A</v>
      </c>
      <c r="V55" t="e" cm="1">
        <f t="array" ref="V55">INDEX($B$25:$B$325, R55+2, 1)</f>
        <v>#N/A</v>
      </c>
      <c r="X55">
        <f t="shared" si="3"/>
        <v>0</v>
      </c>
      <c r="Y55">
        <v>0</v>
      </c>
      <c r="Z55">
        <f t="shared" si="14"/>
        <v>0</v>
      </c>
      <c r="AA55">
        <v>0</v>
      </c>
      <c r="AB55">
        <f t="shared" si="15"/>
        <v>0</v>
      </c>
      <c r="AC55">
        <v>0</v>
      </c>
      <c r="AD55">
        <f t="shared" si="16"/>
        <v>0</v>
      </c>
      <c r="AE55">
        <v>0</v>
      </c>
      <c r="AF55">
        <f t="shared" si="17"/>
        <v>0</v>
      </c>
      <c r="AG55">
        <v>0</v>
      </c>
      <c r="AH55">
        <f t="shared" si="18"/>
        <v>0</v>
      </c>
      <c r="AI55">
        <v>0</v>
      </c>
      <c r="AJ55">
        <f t="shared" si="19"/>
        <v>0</v>
      </c>
      <c r="AK55">
        <v>0</v>
      </c>
      <c r="AL55">
        <f t="shared" si="20"/>
        <v>0</v>
      </c>
      <c r="AM55">
        <v>0</v>
      </c>
      <c r="AN55">
        <f t="shared" si="21"/>
        <v>0</v>
      </c>
      <c r="AO55">
        <v>0</v>
      </c>
      <c r="AP55">
        <f t="shared" si="22"/>
        <v>0</v>
      </c>
      <c r="AQ55">
        <v>0</v>
      </c>
      <c r="BE55" s="6"/>
      <c r="BX55">
        <v>5.2</v>
      </c>
      <c r="BY55">
        <v>0</v>
      </c>
      <c r="CA55">
        <v>30</v>
      </c>
      <c r="CB55">
        <f t="shared" si="26"/>
        <v>0</v>
      </c>
    </row>
    <row r="56" spans="1:80" x14ac:dyDescent="0.3">
      <c r="A56" t="s">
        <v>81</v>
      </c>
      <c r="B56" t="s">
        <v>138</v>
      </c>
      <c r="C56" t="s">
        <v>127</v>
      </c>
      <c r="D56" t="s">
        <v>128</v>
      </c>
      <c r="E56">
        <v>10.1</v>
      </c>
      <c r="F56">
        <v>8.4</v>
      </c>
      <c r="H56">
        <f t="shared" si="5"/>
        <v>11</v>
      </c>
      <c r="I56">
        <v>32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0</v>
      </c>
      <c r="P56">
        <f t="shared" si="11"/>
        <v>0</v>
      </c>
      <c r="R56" t="e">
        <f t="shared" si="12"/>
        <v>#N/A</v>
      </c>
      <c r="S56" t="e" cm="1">
        <f t="array" ref="S56">INDEX($A$25:$A$325, R56, 1)</f>
        <v>#N/A</v>
      </c>
      <c r="T56" t="e">
        <f t="shared" si="13"/>
        <v>#N/A</v>
      </c>
      <c r="U56" t="e" cm="1">
        <f t="array" ref="U56">INDEX($F$25:$F$325, R56, 1)</f>
        <v>#N/A</v>
      </c>
      <c r="V56" t="e" cm="1">
        <f t="array" ref="V56">INDEX($B$25:$B$325, R56+2, 1)</f>
        <v>#N/A</v>
      </c>
      <c r="X56">
        <f t="shared" si="3"/>
        <v>0</v>
      </c>
      <c r="Y56">
        <v>0</v>
      </c>
      <c r="Z56">
        <f t="shared" si="14"/>
        <v>0</v>
      </c>
      <c r="AA56">
        <v>0</v>
      </c>
      <c r="AB56">
        <f t="shared" si="15"/>
        <v>0</v>
      </c>
      <c r="AC56">
        <v>0</v>
      </c>
      <c r="AD56">
        <f t="shared" si="16"/>
        <v>0</v>
      </c>
      <c r="AE56">
        <v>0</v>
      </c>
      <c r="AF56">
        <f t="shared" si="17"/>
        <v>0</v>
      </c>
      <c r="AG56">
        <v>0</v>
      </c>
      <c r="AH56">
        <f t="shared" si="18"/>
        <v>0</v>
      </c>
      <c r="AI56">
        <v>0</v>
      </c>
      <c r="AJ56">
        <f t="shared" si="19"/>
        <v>0</v>
      </c>
      <c r="AK56">
        <v>0</v>
      </c>
      <c r="AL56">
        <f t="shared" si="20"/>
        <v>0</v>
      </c>
      <c r="AM56">
        <v>0</v>
      </c>
      <c r="AN56">
        <f t="shared" si="21"/>
        <v>0</v>
      </c>
      <c r="AO56">
        <v>0</v>
      </c>
      <c r="AP56">
        <f t="shared" si="22"/>
        <v>0</v>
      </c>
      <c r="AQ56">
        <v>0</v>
      </c>
      <c r="BE56" s="6"/>
      <c r="BG56" t="s">
        <v>190</v>
      </c>
      <c r="BX56">
        <v>0</v>
      </c>
      <c r="BY56">
        <v>0</v>
      </c>
      <c r="CA56">
        <v>31</v>
      </c>
      <c r="CB56">
        <f t="shared" si="26"/>
        <v>0</v>
      </c>
    </row>
    <row r="57" spans="1:80" x14ac:dyDescent="0.3">
      <c r="B57" t="s">
        <v>139</v>
      </c>
      <c r="H57">
        <f t="shared" si="5"/>
        <v>0</v>
      </c>
      <c r="I57">
        <v>33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0</v>
      </c>
      <c r="P57">
        <f t="shared" si="11"/>
        <v>0</v>
      </c>
      <c r="R57" t="e">
        <f t="shared" si="12"/>
        <v>#N/A</v>
      </c>
      <c r="S57" t="e" cm="1">
        <f t="array" ref="S57">INDEX($A$25:$A$325, R57, 1)</f>
        <v>#N/A</v>
      </c>
      <c r="T57" t="e">
        <f t="shared" si="13"/>
        <v>#N/A</v>
      </c>
      <c r="U57" t="e" cm="1">
        <f t="array" ref="U57">INDEX($F$25:$F$325, R57, 1)</f>
        <v>#N/A</v>
      </c>
      <c r="V57" t="e" cm="1">
        <f t="array" ref="V57">INDEX($B$25:$B$325, R57+2, 1)</f>
        <v>#N/A</v>
      </c>
      <c r="X57">
        <f t="shared" ref="X57:X88" si="30">IF($L57=X$24,$M57, 0)</f>
        <v>0</v>
      </c>
      <c r="Y57">
        <v>0</v>
      </c>
      <c r="Z57">
        <f t="shared" si="14"/>
        <v>0</v>
      </c>
      <c r="AA57">
        <v>0</v>
      </c>
      <c r="AB57">
        <f t="shared" si="15"/>
        <v>0</v>
      </c>
      <c r="AC57">
        <v>0</v>
      </c>
      <c r="AD57">
        <f t="shared" si="16"/>
        <v>0</v>
      </c>
      <c r="AE57">
        <v>0</v>
      </c>
      <c r="AF57">
        <f t="shared" si="17"/>
        <v>0</v>
      </c>
      <c r="AG57">
        <v>0</v>
      </c>
      <c r="AH57">
        <f t="shared" si="18"/>
        <v>0</v>
      </c>
      <c r="AI57">
        <v>0</v>
      </c>
      <c r="AJ57">
        <f t="shared" si="19"/>
        <v>0</v>
      </c>
      <c r="AK57">
        <v>0</v>
      </c>
      <c r="AL57">
        <f t="shared" si="20"/>
        <v>0</v>
      </c>
      <c r="AM57">
        <v>0</v>
      </c>
      <c r="AN57">
        <f t="shared" si="21"/>
        <v>0</v>
      </c>
      <c r="AO57">
        <v>0</v>
      </c>
      <c r="AP57">
        <f t="shared" si="22"/>
        <v>0</v>
      </c>
      <c r="AQ57">
        <v>0</v>
      </c>
      <c r="BE57" s="6"/>
      <c r="BG57" t="str" cm="1">
        <f t="array" ref="BG57:BH66">TRANSPOSE(AT24:BC25)</f>
        <v>QB</v>
      </c>
      <c r="BH57">
        <v>1</v>
      </c>
      <c r="BX57">
        <v>0</v>
      </c>
      <c r="BY57">
        <v>0</v>
      </c>
      <c r="CA57">
        <v>32</v>
      </c>
      <c r="CB57">
        <f t="shared" si="26"/>
        <v>0</v>
      </c>
    </row>
    <row r="58" spans="1:80" x14ac:dyDescent="0.3">
      <c r="B58" t="s">
        <v>140</v>
      </c>
      <c r="H58">
        <f t="shared" si="5"/>
        <v>0</v>
      </c>
      <c r="I58">
        <v>34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0</v>
      </c>
      <c r="N58">
        <f t="shared" si="10"/>
        <v>0</v>
      </c>
      <c r="P58">
        <f t="shared" si="11"/>
        <v>0</v>
      </c>
      <c r="R58" t="e">
        <f t="shared" si="12"/>
        <v>#N/A</v>
      </c>
      <c r="S58" t="e" cm="1">
        <f t="array" ref="S58">INDEX($A$25:$A$325, R58, 1)</f>
        <v>#N/A</v>
      </c>
      <c r="T58" t="e">
        <f t="shared" si="13"/>
        <v>#N/A</v>
      </c>
      <c r="U58" t="e" cm="1">
        <f t="array" ref="U58">INDEX($F$25:$F$325, R58, 1)</f>
        <v>#N/A</v>
      </c>
      <c r="V58" t="e" cm="1">
        <f t="array" ref="V58">INDEX($B$25:$B$325, R58+2, 1)</f>
        <v>#N/A</v>
      </c>
      <c r="X58">
        <f t="shared" si="30"/>
        <v>0</v>
      </c>
      <c r="Y58">
        <v>0</v>
      </c>
      <c r="Z58">
        <f t="shared" si="14"/>
        <v>0</v>
      </c>
      <c r="AA58">
        <v>0</v>
      </c>
      <c r="AB58">
        <f t="shared" si="15"/>
        <v>0</v>
      </c>
      <c r="AC58">
        <v>0</v>
      </c>
      <c r="AD58">
        <f t="shared" si="16"/>
        <v>0</v>
      </c>
      <c r="AE58">
        <v>0</v>
      </c>
      <c r="AF58">
        <f t="shared" si="17"/>
        <v>0</v>
      </c>
      <c r="AG58">
        <v>0</v>
      </c>
      <c r="AH58">
        <f t="shared" si="18"/>
        <v>0</v>
      </c>
      <c r="AI58">
        <v>0</v>
      </c>
      <c r="AJ58">
        <f t="shared" si="19"/>
        <v>0</v>
      </c>
      <c r="AK58">
        <v>0</v>
      </c>
      <c r="AL58">
        <f t="shared" si="20"/>
        <v>0</v>
      </c>
      <c r="AM58">
        <v>0</v>
      </c>
      <c r="AN58">
        <f t="shared" si="21"/>
        <v>0</v>
      </c>
      <c r="AO58">
        <v>0</v>
      </c>
      <c r="AP58">
        <f t="shared" si="22"/>
        <v>0</v>
      </c>
      <c r="AQ58">
        <v>0</v>
      </c>
      <c r="BE58" s="6"/>
      <c r="BG58" t="str">
        <v>RB</v>
      </c>
      <c r="BH58">
        <v>2</v>
      </c>
      <c r="BX58">
        <v>0</v>
      </c>
      <c r="BY58">
        <v>0</v>
      </c>
      <c r="CA58">
        <v>33</v>
      </c>
      <c r="CB58">
        <f t="shared" si="26"/>
        <v>0</v>
      </c>
    </row>
    <row r="59" spans="1:80" x14ac:dyDescent="0.3">
      <c r="A59" t="s">
        <v>81</v>
      </c>
      <c r="B59" t="s">
        <v>141</v>
      </c>
      <c r="C59" t="s">
        <v>143</v>
      </c>
      <c r="D59" t="s">
        <v>144</v>
      </c>
      <c r="E59">
        <v>8.1</v>
      </c>
      <c r="F59">
        <v>5.2</v>
      </c>
      <c r="H59">
        <f t="shared" si="5"/>
        <v>12</v>
      </c>
      <c r="I59">
        <v>35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0</v>
      </c>
      <c r="P59">
        <f t="shared" si="11"/>
        <v>0</v>
      </c>
      <c r="R59" t="e">
        <f t="shared" si="12"/>
        <v>#N/A</v>
      </c>
      <c r="S59" t="e" cm="1">
        <f t="array" ref="S59">INDEX($A$25:$A$325, R59, 1)</f>
        <v>#N/A</v>
      </c>
      <c r="T59" t="e">
        <f t="shared" si="13"/>
        <v>#N/A</v>
      </c>
      <c r="U59" t="e" cm="1">
        <f t="array" ref="U59">INDEX($F$25:$F$325, R59, 1)</f>
        <v>#N/A</v>
      </c>
      <c r="V59" t="e" cm="1">
        <f t="array" ref="V59">INDEX($B$25:$B$325, R59+2, 1)</f>
        <v>#N/A</v>
      </c>
      <c r="X59">
        <f t="shared" si="30"/>
        <v>0</v>
      </c>
      <c r="Y59">
        <v>0</v>
      </c>
      <c r="Z59">
        <f t="shared" si="14"/>
        <v>0</v>
      </c>
      <c r="AA59">
        <v>0</v>
      </c>
      <c r="AB59">
        <f t="shared" si="15"/>
        <v>0</v>
      </c>
      <c r="AC59">
        <v>0</v>
      </c>
      <c r="AD59">
        <f t="shared" si="16"/>
        <v>0</v>
      </c>
      <c r="AE59">
        <v>0</v>
      </c>
      <c r="AF59">
        <f t="shared" si="17"/>
        <v>0</v>
      </c>
      <c r="AG59">
        <v>0</v>
      </c>
      <c r="AH59">
        <f t="shared" si="18"/>
        <v>0</v>
      </c>
      <c r="AI59">
        <v>0</v>
      </c>
      <c r="AJ59">
        <f t="shared" si="19"/>
        <v>0</v>
      </c>
      <c r="AK59">
        <v>0</v>
      </c>
      <c r="AL59">
        <f t="shared" si="20"/>
        <v>0</v>
      </c>
      <c r="AM59">
        <v>0</v>
      </c>
      <c r="AN59">
        <f t="shared" si="21"/>
        <v>0</v>
      </c>
      <c r="AO59">
        <v>0</v>
      </c>
      <c r="AP59">
        <f t="shared" si="22"/>
        <v>0</v>
      </c>
      <c r="AQ59">
        <v>0</v>
      </c>
      <c r="BE59" s="6"/>
      <c r="BG59" t="str">
        <v>WR</v>
      </c>
      <c r="BH59">
        <v>2</v>
      </c>
      <c r="BX59">
        <v>0</v>
      </c>
      <c r="BY59">
        <v>0</v>
      </c>
      <c r="CA59">
        <v>34</v>
      </c>
      <c r="CB59">
        <f t="shared" si="26"/>
        <v>0</v>
      </c>
    </row>
    <row r="60" spans="1:80" x14ac:dyDescent="0.3">
      <c r="B60" t="s">
        <v>142</v>
      </c>
      <c r="H60">
        <f t="shared" si="5"/>
        <v>0</v>
      </c>
      <c r="I60">
        <v>36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0</v>
      </c>
      <c r="P60">
        <f t="shared" si="11"/>
        <v>0</v>
      </c>
      <c r="R60" t="e">
        <f t="shared" si="12"/>
        <v>#N/A</v>
      </c>
      <c r="S60" t="e" cm="1">
        <f t="array" ref="S60">INDEX($A$25:$A$325, R60, 1)</f>
        <v>#N/A</v>
      </c>
      <c r="T60" t="e">
        <f t="shared" si="13"/>
        <v>#N/A</v>
      </c>
      <c r="U60" t="e" cm="1">
        <f t="array" ref="U60">INDEX($F$25:$F$325, R60, 1)</f>
        <v>#N/A</v>
      </c>
      <c r="V60" t="e" cm="1">
        <f t="array" ref="V60">INDEX($B$25:$B$325, R60+2, 1)</f>
        <v>#N/A</v>
      </c>
      <c r="X60">
        <f t="shared" si="30"/>
        <v>0</v>
      </c>
      <c r="Y60">
        <v>0</v>
      </c>
      <c r="Z60">
        <f t="shared" si="14"/>
        <v>0</v>
      </c>
      <c r="AA60">
        <v>0</v>
      </c>
      <c r="AB60">
        <f t="shared" si="15"/>
        <v>0</v>
      </c>
      <c r="AC60">
        <v>0</v>
      </c>
      <c r="AD60">
        <f t="shared" si="16"/>
        <v>0</v>
      </c>
      <c r="AE60">
        <v>0</v>
      </c>
      <c r="AF60">
        <f t="shared" si="17"/>
        <v>0</v>
      </c>
      <c r="AG60">
        <v>0</v>
      </c>
      <c r="AH60">
        <f t="shared" si="18"/>
        <v>0</v>
      </c>
      <c r="AI60">
        <v>0</v>
      </c>
      <c r="AJ60">
        <f t="shared" si="19"/>
        <v>0</v>
      </c>
      <c r="AK60">
        <v>0</v>
      </c>
      <c r="AL60">
        <f t="shared" si="20"/>
        <v>0</v>
      </c>
      <c r="AM60">
        <v>0</v>
      </c>
      <c r="AN60">
        <f t="shared" si="21"/>
        <v>0</v>
      </c>
      <c r="AO60">
        <v>0</v>
      </c>
      <c r="AP60">
        <f t="shared" si="22"/>
        <v>0</v>
      </c>
      <c r="AQ60">
        <v>0</v>
      </c>
      <c r="BE60" s="6"/>
      <c r="BG60" t="str">
        <v>TE</v>
      </c>
      <c r="BH60">
        <v>1</v>
      </c>
      <c r="BX60">
        <v>0</v>
      </c>
      <c r="BY60">
        <v>0</v>
      </c>
      <c r="CA60">
        <v>35</v>
      </c>
      <c r="CB60">
        <f t="shared" si="26"/>
        <v>0</v>
      </c>
    </row>
    <row r="61" spans="1:80" x14ac:dyDescent="0.3">
      <c r="B61" t="s">
        <v>83</v>
      </c>
      <c r="H61">
        <f t="shared" si="5"/>
        <v>0</v>
      </c>
      <c r="I61">
        <v>37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0</v>
      </c>
      <c r="P61">
        <f t="shared" si="11"/>
        <v>0</v>
      </c>
      <c r="R61" t="e">
        <f t="shared" si="12"/>
        <v>#N/A</v>
      </c>
      <c r="S61" t="e" cm="1">
        <f t="array" ref="S61">INDEX($A$25:$A$325, R61, 1)</f>
        <v>#N/A</v>
      </c>
      <c r="T61" t="e">
        <f t="shared" si="13"/>
        <v>#N/A</v>
      </c>
      <c r="U61" t="e" cm="1">
        <f t="array" ref="U61">INDEX($F$25:$F$325, R61, 1)</f>
        <v>#N/A</v>
      </c>
      <c r="V61" t="e" cm="1">
        <f t="array" ref="V61">INDEX($B$25:$B$325, R61+2, 1)</f>
        <v>#N/A</v>
      </c>
      <c r="X61">
        <f t="shared" si="30"/>
        <v>0</v>
      </c>
      <c r="Y61">
        <v>0</v>
      </c>
      <c r="Z61">
        <f t="shared" si="14"/>
        <v>0</v>
      </c>
      <c r="AA61">
        <v>0</v>
      </c>
      <c r="AB61">
        <f t="shared" si="15"/>
        <v>0</v>
      </c>
      <c r="AC61">
        <v>0</v>
      </c>
      <c r="AD61">
        <f t="shared" si="16"/>
        <v>0</v>
      </c>
      <c r="AE61">
        <v>0</v>
      </c>
      <c r="AF61">
        <f t="shared" si="17"/>
        <v>0</v>
      </c>
      <c r="AG61">
        <v>0</v>
      </c>
      <c r="AH61">
        <f t="shared" si="18"/>
        <v>0</v>
      </c>
      <c r="AI61">
        <v>0</v>
      </c>
      <c r="AJ61">
        <f t="shared" si="19"/>
        <v>0</v>
      </c>
      <c r="AK61">
        <v>0</v>
      </c>
      <c r="AL61">
        <f t="shared" si="20"/>
        <v>0</v>
      </c>
      <c r="AM61">
        <v>0</v>
      </c>
      <c r="AN61">
        <f t="shared" si="21"/>
        <v>0</v>
      </c>
      <c r="AO61">
        <v>0</v>
      </c>
      <c r="AP61">
        <f t="shared" si="22"/>
        <v>0</v>
      </c>
      <c r="AQ61">
        <v>0</v>
      </c>
      <c r="BE61" s="6"/>
      <c r="BG61" t="str">
        <v>K</v>
      </c>
      <c r="BH61">
        <v>1</v>
      </c>
      <c r="BX61">
        <v>0</v>
      </c>
      <c r="BY61">
        <v>0</v>
      </c>
      <c r="CA61">
        <v>36</v>
      </c>
      <c r="CB61">
        <f t="shared" si="26"/>
        <v>0</v>
      </c>
    </row>
    <row r="62" spans="1:80" x14ac:dyDescent="0.3">
      <c r="A62" t="s">
        <v>81</v>
      </c>
      <c r="B62" t="s">
        <v>145</v>
      </c>
      <c r="C62" t="s">
        <v>148</v>
      </c>
      <c r="D62" t="s">
        <v>149</v>
      </c>
      <c r="E62">
        <v>11.1</v>
      </c>
      <c r="F62">
        <v>13.9</v>
      </c>
      <c r="H62">
        <f t="shared" si="5"/>
        <v>13</v>
      </c>
      <c r="I62">
        <v>38</v>
      </c>
      <c r="J62">
        <f t="shared" si="6"/>
        <v>0</v>
      </c>
      <c r="K62">
        <f t="shared" si="7"/>
        <v>0</v>
      </c>
      <c r="L62">
        <f t="shared" si="8"/>
        <v>0</v>
      </c>
      <c r="M62">
        <f t="shared" si="9"/>
        <v>0</v>
      </c>
      <c r="N62">
        <f t="shared" si="10"/>
        <v>0</v>
      </c>
      <c r="P62">
        <f t="shared" si="11"/>
        <v>0</v>
      </c>
      <c r="R62" t="e">
        <f t="shared" si="12"/>
        <v>#N/A</v>
      </c>
      <c r="S62" t="e" cm="1">
        <f t="array" ref="S62">INDEX($A$25:$A$325, R62, 1)</f>
        <v>#N/A</v>
      </c>
      <c r="T62" t="e">
        <f t="shared" si="13"/>
        <v>#N/A</v>
      </c>
      <c r="U62" t="e" cm="1">
        <f t="array" ref="U62">INDEX($F$25:$F$325, R62, 1)</f>
        <v>#N/A</v>
      </c>
      <c r="V62" t="e" cm="1">
        <f t="array" ref="V62">INDEX($B$25:$B$325, R62+2, 1)</f>
        <v>#N/A</v>
      </c>
      <c r="X62">
        <f t="shared" si="30"/>
        <v>0</v>
      </c>
      <c r="Y62">
        <v>0</v>
      </c>
      <c r="Z62">
        <f t="shared" si="14"/>
        <v>0</v>
      </c>
      <c r="AA62">
        <v>0</v>
      </c>
      <c r="AB62">
        <f t="shared" si="15"/>
        <v>0</v>
      </c>
      <c r="AC62">
        <v>0</v>
      </c>
      <c r="AD62">
        <f t="shared" si="16"/>
        <v>0</v>
      </c>
      <c r="AE62">
        <v>0</v>
      </c>
      <c r="AF62">
        <f t="shared" si="17"/>
        <v>0</v>
      </c>
      <c r="AG62">
        <v>0</v>
      </c>
      <c r="AH62">
        <f t="shared" si="18"/>
        <v>0</v>
      </c>
      <c r="AI62">
        <v>0</v>
      </c>
      <c r="AJ62">
        <f t="shared" si="19"/>
        <v>0</v>
      </c>
      <c r="AK62">
        <v>0</v>
      </c>
      <c r="AL62">
        <f t="shared" si="20"/>
        <v>0</v>
      </c>
      <c r="AM62">
        <v>0</v>
      </c>
      <c r="AN62">
        <f t="shared" si="21"/>
        <v>0</v>
      </c>
      <c r="AO62">
        <v>0</v>
      </c>
      <c r="AP62">
        <f t="shared" si="22"/>
        <v>0</v>
      </c>
      <c r="AQ62">
        <v>0</v>
      </c>
      <c r="BE62" s="6"/>
      <c r="BG62" t="str">
        <v>D/ST</v>
      </c>
      <c r="BH62">
        <v>1</v>
      </c>
      <c r="BX62">
        <v>0</v>
      </c>
      <c r="BY62">
        <v>0</v>
      </c>
      <c r="CA62">
        <v>37</v>
      </c>
      <c r="CB62">
        <f t="shared" si="26"/>
        <v>0</v>
      </c>
    </row>
    <row r="63" spans="1:80" x14ac:dyDescent="0.3">
      <c r="B63" t="s">
        <v>146</v>
      </c>
      <c r="H63">
        <f t="shared" si="5"/>
        <v>0</v>
      </c>
      <c r="I63">
        <v>39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0</v>
      </c>
      <c r="P63">
        <f t="shared" si="11"/>
        <v>0</v>
      </c>
      <c r="R63" t="e">
        <f t="shared" si="12"/>
        <v>#N/A</v>
      </c>
      <c r="S63" t="e" cm="1">
        <f t="array" ref="S63">INDEX($A$25:$A$325, R63, 1)</f>
        <v>#N/A</v>
      </c>
      <c r="T63" t="e">
        <f t="shared" si="13"/>
        <v>#N/A</v>
      </c>
      <c r="U63" t="e" cm="1">
        <f t="array" ref="U63">INDEX($F$25:$F$325, R63, 1)</f>
        <v>#N/A</v>
      </c>
      <c r="V63" t="e" cm="1">
        <f t="array" ref="V63">INDEX($B$25:$B$325, R63+2, 1)</f>
        <v>#N/A</v>
      </c>
      <c r="X63">
        <f t="shared" si="30"/>
        <v>0</v>
      </c>
      <c r="Y63">
        <v>0</v>
      </c>
      <c r="Z63">
        <f t="shared" si="14"/>
        <v>0</v>
      </c>
      <c r="AA63">
        <v>0</v>
      </c>
      <c r="AB63">
        <f t="shared" si="15"/>
        <v>0</v>
      </c>
      <c r="AC63">
        <v>0</v>
      </c>
      <c r="AD63">
        <f t="shared" si="16"/>
        <v>0</v>
      </c>
      <c r="AE63">
        <v>0</v>
      </c>
      <c r="AF63">
        <f t="shared" si="17"/>
        <v>0</v>
      </c>
      <c r="AG63">
        <v>0</v>
      </c>
      <c r="AH63">
        <f t="shared" si="18"/>
        <v>0</v>
      </c>
      <c r="AI63">
        <v>0</v>
      </c>
      <c r="AJ63">
        <f t="shared" si="19"/>
        <v>0</v>
      </c>
      <c r="AK63">
        <v>0</v>
      </c>
      <c r="AL63">
        <f t="shared" si="20"/>
        <v>0</v>
      </c>
      <c r="AM63">
        <v>0</v>
      </c>
      <c r="AN63">
        <f t="shared" si="21"/>
        <v>0</v>
      </c>
      <c r="AO63">
        <v>0</v>
      </c>
      <c r="AP63">
        <f t="shared" si="22"/>
        <v>0</v>
      </c>
      <c r="AQ63">
        <v>0</v>
      </c>
      <c r="BE63" s="6"/>
      <c r="BG63">
        <v>0</v>
      </c>
      <c r="BH63">
        <v>88</v>
      </c>
      <c r="BX63">
        <v>0</v>
      </c>
      <c r="BY63">
        <v>0</v>
      </c>
      <c r="CA63">
        <v>38</v>
      </c>
      <c r="CB63">
        <f t="shared" si="26"/>
        <v>0</v>
      </c>
    </row>
    <row r="64" spans="1:80" x14ac:dyDescent="0.3">
      <c r="B64" t="s">
        <v>147</v>
      </c>
      <c r="H64">
        <f t="shared" si="5"/>
        <v>0</v>
      </c>
      <c r="I64">
        <v>40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0</v>
      </c>
      <c r="P64">
        <f t="shared" si="11"/>
        <v>0</v>
      </c>
      <c r="R64" t="e">
        <f t="shared" si="12"/>
        <v>#N/A</v>
      </c>
      <c r="S64" t="e" cm="1">
        <f t="array" ref="S64">INDEX($A$25:$A$325, R64, 1)</f>
        <v>#N/A</v>
      </c>
      <c r="T64" t="e">
        <f t="shared" si="13"/>
        <v>#N/A</v>
      </c>
      <c r="U64" t="e" cm="1">
        <f t="array" ref="U64">INDEX($F$25:$F$325, R64, 1)</f>
        <v>#N/A</v>
      </c>
      <c r="V64" t="e" cm="1">
        <f t="array" ref="V64">INDEX($B$25:$B$325, R64+2, 1)</f>
        <v>#N/A</v>
      </c>
      <c r="X64">
        <f t="shared" si="30"/>
        <v>0</v>
      </c>
      <c r="Y64">
        <v>0</v>
      </c>
      <c r="Z64">
        <f t="shared" si="14"/>
        <v>0</v>
      </c>
      <c r="AA64">
        <v>0</v>
      </c>
      <c r="AB64">
        <f t="shared" si="15"/>
        <v>0</v>
      </c>
      <c r="AC64">
        <v>0</v>
      </c>
      <c r="AD64">
        <f t="shared" si="16"/>
        <v>0</v>
      </c>
      <c r="AE64">
        <v>0</v>
      </c>
      <c r="AF64">
        <f t="shared" si="17"/>
        <v>0</v>
      </c>
      <c r="AG64">
        <v>0</v>
      </c>
      <c r="AH64">
        <f t="shared" si="18"/>
        <v>0</v>
      </c>
      <c r="AI64">
        <v>0</v>
      </c>
      <c r="AJ64">
        <f t="shared" si="19"/>
        <v>0</v>
      </c>
      <c r="AK64">
        <v>0</v>
      </c>
      <c r="AL64">
        <f t="shared" si="20"/>
        <v>0</v>
      </c>
      <c r="AM64">
        <v>0</v>
      </c>
      <c r="AN64">
        <f t="shared" si="21"/>
        <v>0</v>
      </c>
      <c r="AO64">
        <v>0</v>
      </c>
      <c r="AP64">
        <f t="shared" si="22"/>
        <v>0</v>
      </c>
      <c r="AQ64">
        <v>0</v>
      </c>
      <c r="BE64" s="6"/>
      <c r="BG64">
        <v>0</v>
      </c>
      <c r="BH64">
        <v>88</v>
      </c>
      <c r="BX64">
        <v>0</v>
      </c>
      <c r="BY64">
        <v>0</v>
      </c>
      <c r="CA64">
        <v>39</v>
      </c>
      <c r="CB64">
        <f t="shared" si="26"/>
        <v>0</v>
      </c>
    </row>
    <row r="65" spans="1:80" x14ac:dyDescent="0.3">
      <c r="A65" t="s">
        <v>81</v>
      </c>
      <c r="B65" t="s">
        <v>150</v>
      </c>
      <c r="C65" t="s">
        <v>82</v>
      </c>
      <c r="D65" t="s">
        <v>95</v>
      </c>
      <c r="E65">
        <v>0</v>
      </c>
      <c r="F65">
        <v>0</v>
      </c>
      <c r="H65">
        <f t="shared" si="5"/>
        <v>14</v>
      </c>
      <c r="I65">
        <v>41</v>
      </c>
      <c r="J65">
        <f t="shared" si="6"/>
        <v>0</v>
      </c>
      <c r="K65">
        <f t="shared" si="7"/>
        <v>0</v>
      </c>
      <c r="L65">
        <f t="shared" si="8"/>
        <v>0</v>
      </c>
      <c r="M65">
        <f t="shared" si="9"/>
        <v>0</v>
      </c>
      <c r="N65">
        <f t="shared" si="10"/>
        <v>0</v>
      </c>
      <c r="P65">
        <f t="shared" si="11"/>
        <v>0</v>
      </c>
      <c r="R65" t="e">
        <f t="shared" si="12"/>
        <v>#N/A</v>
      </c>
      <c r="S65" t="e" cm="1">
        <f t="array" ref="S65">INDEX($A$25:$A$325, R65, 1)</f>
        <v>#N/A</v>
      </c>
      <c r="T65" t="e">
        <f t="shared" si="13"/>
        <v>#N/A</v>
      </c>
      <c r="U65" t="e" cm="1">
        <f t="array" ref="U65">INDEX($F$25:$F$325, R65, 1)</f>
        <v>#N/A</v>
      </c>
      <c r="V65" t="e" cm="1">
        <f t="array" ref="V65">INDEX($B$25:$B$325, R65+2, 1)</f>
        <v>#N/A</v>
      </c>
      <c r="X65">
        <f t="shared" si="30"/>
        <v>0</v>
      </c>
      <c r="Y65">
        <v>0</v>
      </c>
      <c r="Z65">
        <f t="shared" si="14"/>
        <v>0</v>
      </c>
      <c r="AA65">
        <v>0</v>
      </c>
      <c r="AB65">
        <f t="shared" si="15"/>
        <v>0</v>
      </c>
      <c r="AC65">
        <v>0</v>
      </c>
      <c r="AD65">
        <f t="shared" si="16"/>
        <v>0</v>
      </c>
      <c r="AE65">
        <v>0</v>
      </c>
      <c r="AF65">
        <f t="shared" si="17"/>
        <v>0</v>
      </c>
      <c r="AG65">
        <v>0</v>
      </c>
      <c r="AH65">
        <f t="shared" si="18"/>
        <v>0</v>
      </c>
      <c r="AI65">
        <v>0</v>
      </c>
      <c r="AJ65">
        <f t="shared" si="19"/>
        <v>0</v>
      </c>
      <c r="AK65">
        <v>0</v>
      </c>
      <c r="AL65">
        <f t="shared" si="20"/>
        <v>0</v>
      </c>
      <c r="AM65">
        <v>0</v>
      </c>
      <c r="AN65">
        <f t="shared" si="21"/>
        <v>0</v>
      </c>
      <c r="AO65">
        <v>0</v>
      </c>
      <c r="AP65">
        <f t="shared" si="22"/>
        <v>0</v>
      </c>
      <c r="AQ65">
        <v>0</v>
      </c>
      <c r="BE65" s="6"/>
      <c r="BG65">
        <v>0</v>
      </c>
      <c r="BH65">
        <v>88</v>
      </c>
      <c r="BX65">
        <v>0</v>
      </c>
      <c r="BY65">
        <v>0</v>
      </c>
      <c r="CA65">
        <v>40</v>
      </c>
      <c r="CB65">
        <f t="shared" si="26"/>
        <v>0</v>
      </c>
    </row>
    <row r="66" spans="1:80" x14ac:dyDescent="0.3">
      <c r="B66" t="s">
        <v>151</v>
      </c>
      <c r="H66">
        <f t="shared" si="5"/>
        <v>0</v>
      </c>
      <c r="I66">
        <v>42</v>
      </c>
      <c r="J66">
        <f t="shared" si="6"/>
        <v>0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0</v>
      </c>
      <c r="P66">
        <f t="shared" si="11"/>
        <v>0</v>
      </c>
      <c r="R66" t="e">
        <f t="shared" si="12"/>
        <v>#N/A</v>
      </c>
      <c r="S66" t="e" cm="1">
        <f t="array" ref="S66">INDEX($A$25:$A$325, R66, 1)</f>
        <v>#N/A</v>
      </c>
      <c r="T66" t="e">
        <f t="shared" si="13"/>
        <v>#N/A</v>
      </c>
      <c r="U66" t="e" cm="1">
        <f t="array" ref="U66">INDEX($F$25:$F$325, R66, 1)</f>
        <v>#N/A</v>
      </c>
      <c r="V66" t="e" cm="1">
        <f t="array" ref="V66">INDEX($B$25:$B$325, R66+2, 1)</f>
        <v>#N/A</v>
      </c>
      <c r="X66">
        <f t="shared" si="30"/>
        <v>0</v>
      </c>
      <c r="Y66">
        <v>0</v>
      </c>
      <c r="Z66">
        <f t="shared" si="14"/>
        <v>0</v>
      </c>
      <c r="AA66">
        <v>0</v>
      </c>
      <c r="AB66">
        <f t="shared" si="15"/>
        <v>0</v>
      </c>
      <c r="AC66">
        <v>0</v>
      </c>
      <c r="AD66">
        <f t="shared" si="16"/>
        <v>0</v>
      </c>
      <c r="AE66">
        <v>0</v>
      </c>
      <c r="AF66">
        <f t="shared" si="17"/>
        <v>0</v>
      </c>
      <c r="AG66">
        <v>0</v>
      </c>
      <c r="AH66">
        <f t="shared" si="18"/>
        <v>0</v>
      </c>
      <c r="AI66">
        <v>0</v>
      </c>
      <c r="AJ66">
        <f t="shared" si="19"/>
        <v>0</v>
      </c>
      <c r="AK66">
        <v>0</v>
      </c>
      <c r="AL66">
        <f t="shared" si="20"/>
        <v>0</v>
      </c>
      <c r="AM66">
        <v>0</v>
      </c>
      <c r="AN66">
        <f t="shared" si="21"/>
        <v>0</v>
      </c>
      <c r="AO66">
        <v>0</v>
      </c>
      <c r="AP66">
        <f t="shared" si="22"/>
        <v>0</v>
      </c>
      <c r="AQ66">
        <v>0</v>
      </c>
      <c r="BE66" s="6"/>
      <c r="BG66">
        <v>0</v>
      </c>
      <c r="BH66">
        <v>88</v>
      </c>
      <c r="BX66">
        <v>0</v>
      </c>
      <c r="BY66">
        <v>0</v>
      </c>
      <c r="CA66">
        <v>41</v>
      </c>
      <c r="CB66">
        <f t="shared" si="26"/>
        <v>0</v>
      </c>
    </row>
    <row r="67" spans="1:80" x14ac:dyDescent="0.3">
      <c r="B67" t="s">
        <v>152</v>
      </c>
      <c r="H67">
        <f t="shared" si="5"/>
        <v>0</v>
      </c>
      <c r="I67">
        <v>43</v>
      </c>
      <c r="J67">
        <f t="shared" si="6"/>
        <v>0</v>
      </c>
      <c r="K67">
        <f t="shared" si="7"/>
        <v>0</v>
      </c>
      <c r="L67">
        <f t="shared" si="8"/>
        <v>0</v>
      </c>
      <c r="M67">
        <f t="shared" si="9"/>
        <v>0</v>
      </c>
      <c r="N67">
        <f t="shared" si="10"/>
        <v>0</v>
      </c>
      <c r="P67">
        <f t="shared" si="11"/>
        <v>0</v>
      </c>
      <c r="R67" t="e">
        <f t="shared" si="12"/>
        <v>#N/A</v>
      </c>
      <c r="S67" t="e" cm="1">
        <f t="array" ref="S67">INDEX($A$25:$A$325, R67, 1)</f>
        <v>#N/A</v>
      </c>
      <c r="T67" t="e">
        <f t="shared" si="13"/>
        <v>#N/A</v>
      </c>
      <c r="U67" t="e" cm="1">
        <f t="array" ref="U67">INDEX($F$25:$F$325, R67, 1)</f>
        <v>#N/A</v>
      </c>
      <c r="V67" t="e" cm="1">
        <f t="array" ref="V67">INDEX($B$25:$B$325, R67+2, 1)</f>
        <v>#N/A</v>
      </c>
      <c r="X67">
        <f t="shared" si="30"/>
        <v>0</v>
      </c>
      <c r="Y67">
        <v>0</v>
      </c>
      <c r="Z67">
        <f t="shared" si="14"/>
        <v>0</v>
      </c>
      <c r="AA67">
        <v>0</v>
      </c>
      <c r="AB67">
        <f t="shared" si="15"/>
        <v>0</v>
      </c>
      <c r="AC67">
        <v>0</v>
      </c>
      <c r="AD67">
        <f t="shared" si="16"/>
        <v>0</v>
      </c>
      <c r="AE67">
        <v>0</v>
      </c>
      <c r="AF67">
        <f t="shared" si="17"/>
        <v>0</v>
      </c>
      <c r="AG67">
        <v>0</v>
      </c>
      <c r="AH67">
        <f t="shared" si="18"/>
        <v>0</v>
      </c>
      <c r="AI67">
        <v>0</v>
      </c>
      <c r="AJ67">
        <f t="shared" si="19"/>
        <v>0</v>
      </c>
      <c r="AK67">
        <v>0</v>
      </c>
      <c r="AL67">
        <f t="shared" si="20"/>
        <v>0</v>
      </c>
      <c r="AM67">
        <v>0</v>
      </c>
      <c r="AN67">
        <f t="shared" si="21"/>
        <v>0</v>
      </c>
      <c r="AO67">
        <v>0</v>
      </c>
      <c r="AP67">
        <f t="shared" si="22"/>
        <v>0</v>
      </c>
      <c r="AQ67">
        <v>0</v>
      </c>
      <c r="BE67" s="6"/>
      <c r="BX67">
        <v>0</v>
      </c>
      <c r="BY67">
        <v>0</v>
      </c>
      <c r="CA67">
        <v>42</v>
      </c>
      <c r="CB67">
        <f t="shared" si="26"/>
        <v>0</v>
      </c>
    </row>
    <row r="68" spans="1:80" x14ac:dyDescent="0.3">
      <c r="A68" t="s">
        <v>81</v>
      </c>
      <c r="B68" t="s">
        <v>153</v>
      </c>
      <c r="C68" t="s">
        <v>156</v>
      </c>
      <c r="D68" t="s">
        <v>157</v>
      </c>
      <c r="E68">
        <v>16.899999999999999</v>
      </c>
      <c r="F68">
        <v>14.98</v>
      </c>
      <c r="H68">
        <f t="shared" si="5"/>
        <v>15</v>
      </c>
      <c r="I68">
        <v>44</v>
      </c>
      <c r="J68">
        <f t="shared" si="6"/>
        <v>0</v>
      </c>
      <c r="K68">
        <f t="shared" si="7"/>
        <v>0</v>
      </c>
      <c r="L68">
        <f t="shared" si="8"/>
        <v>0</v>
      </c>
      <c r="M68">
        <f t="shared" si="9"/>
        <v>0</v>
      </c>
      <c r="N68">
        <f t="shared" si="10"/>
        <v>0</v>
      </c>
      <c r="P68">
        <f t="shared" si="11"/>
        <v>0</v>
      </c>
      <c r="R68" t="e">
        <f t="shared" si="12"/>
        <v>#N/A</v>
      </c>
      <c r="S68" t="e" cm="1">
        <f t="array" ref="S68">INDEX($A$25:$A$325, R68, 1)</f>
        <v>#N/A</v>
      </c>
      <c r="T68" t="e">
        <f t="shared" si="13"/>
        <v>#N/A</v>
      </c>
      <c r="U68" t="e" cm="1">
        <f t="array" ref="U68">INDEX($F$25:$F$325, R68, 1)</f>
        <v>#N/A</v>
      </c>
      <c r="V68" t="e" cm="1">
        <f t="array" ref="V68">INDEX($B$25:$B$325, R68+2, 1)</f>
        <v>#N/A</v>
      </c>
      <c r="X68">
        <f t="shared" si="30"/>
        <v>0</v>
      </c>
      <c r="Y68">
        <v>0</v>
      </c>
      <c r="Z68">
        <f t="shared" si="14"/>
        <v>0</v>
      </c>
      <c r="AA68">
        <v>0</v>
      </c>
      <c r="AB68">
        <f t="shared" si="15"/>
        <v>0</v>
      </c>
      <c r="AC68">
        <v>0</v>
      </c>
      <c r="AD68">
        <f t="shared" si="16"/>
        <v>0</v>
      </c>
      <c r="AE68">
        <v>0</v>
      </c>
      <c r="AF68">
        <f t="shared" si="17"/>
        <v>0</v>
      </c>
      <c r="AG68">
        <v>0</v>
      </c>
      <c r="AH68">
        <f t="shared" si="18"/>
        <v>0</v>
      </c>
      <c r="AI68">
        <v>0</v>
      </c>
      <c r="AJ68">
        <f t="shared" si="19"/>
        <v>0</v>
      </c>
      <c r="AK68">
        <v>0</v>
      </c>
      <c r="AL68">
        <f t="shared" si="20"/>
        <v>0</v>
      </c>
      <c r="AM68">
        <v>0</v>
      </c>
      <c r="AN68">
        <f t="shared" si="21"/>
        <v>0</v>
      </c>
      <c r="AO68">
        <v>0</v>
      </c>
      <c r="AP68">
        <f t="shared" si="22"/>
        <v>0</v>
      </c>
      <c r="AQ68">
        <v>0</v>
      </c>
      <c r="BE68" s="6"/>
      <c r="BX68">
        <v>0</v>
      </c>
      <c r="BY68">
        <v>0</v>
      </c>
      <c r="CA68">
        <v>43</v>
      </c>
      <c r="CB68">
        <f t="shared" si="26"/>
        <v>0</v>
      </c>
    </row>
    <row r="69" spans="1:80" x14ac:dyDescent="0.3">
      <c r="B69" t="s">
        <v>154</v>
      </c>
      <c r="H69">
        <f t="shared" si="5"/>
        <v>0</v>
      </c>
      <c r="I69">
        <v>45</v>
      </c>
      <c r="J69">
        <f t="shared" si="6"/>
        <v>0</v>
      </c>
      <c r="K69">
        <f t="shared" si="7"/>
        <v>0</v>
      </c>
      <c r="L69">
        <f t="shared" si="8"/>
        <v>0</v>
      </c>
      <c r="M69">
        <f t="shared" si="9"/>
        <v>0</v>
      </c>
      <c r="N69">
        <f t="shared" si="10"/>
        <v>0</v>
      </c>
      <c r="P69">
        <f t="shared" si="11"/>
        <v>0</v>
      </c>
      <c r="R69" t="e">
        <f t="shared" si="12"/>
        <v>#N/A</v>
      </c>
      <c r="S69" t="e" cm="1">
        <f t="array" ref="S69">INDEX($A$25:$A$325, R69, 1)</f>
        <v>#N/A</v>
      </c>
      <c r="T69" t="e">
        <f t="shared" si="13"/>
        <v>#N/A</v>
      </c>
      <c r="U69" t="e" cm="1">
        <f t="array" ref="U69">INDEX($F$25:$F$325, R69, 1)</f>
        <v>#N/A</v>
      </c>
      <c r="V69" t="e" cm="1">
        <f t="array" ref="V69">INDEX($B$25:$B$325, R69+2, 1)</f>
        <v>#N/A</v>
      </c>
      <c r="X69">
        <f t="shared" si="30"/>
        <v>0</v>
      </c>
      <c r="Y69">
        <v>0</v>
      </c>
      <c r="Z69">
        <f t="shared" si="14"/>
        <v>0</v>
      </c>
      <c r="AA69">
        <v>0</v>
      </c>
      <c r="AB69">
        <f t="shared" si="15"/>
        <v>0</v>
      </c>
      <c r="AC69">
        <v>0</v>
      </c>
      <c r="AD69">
        <f t="shared" si="16"/>
        <v>0</v>
      </c>
      <c r="AE69">
        <v>0</v>
      </c>
      <c r="AF69">
        <f t="shared" si="17"/>
        <v>0</v>
      </c>
      <c r="AG69">
        <v>0</v>
      </c>
      <c r="AH69">
        <f t="shared" si="18"/>
        <v>0</v>
      </c>
      <c r="AI69">
        <v>0</v>
      </c>
      <c r="AJ69">
        <f t="shared" si="19"/>
        <v>0</v>
      </c>
      <c r="AK69">
        <v>0</v>
      </c>
      <c r="AL69">
        <f t="shared" si="20"/>
        <v>0</v>
      </c>
      <c r="AM69">
        <v>0</v>
      </c>
      <c r="AN69">
        <f t="shared" si="21"/>
        <v>0</v>
      </c>
      <c r="AO69">
        <v>0</v>
      </c>
      <c r="AP69">
        <f t="shared" si="22"/>
        <v>0</v>
      </c>
      <c r="AQ69">
        <v>0</v>
      </c>
      <c r="BE69" s="6"/>
      <c r="BX69">
        <v>0</v>
      </c>
      <c r="BY69">
        <v>0</v>
      </c>
      <c r="CA69">
        <v>44</v>
      </c>
      <c r="CB69">
        <f t="shared" si="26"/>
        <v>0</v>
      </c>
    </row>
    <row r="70" spans="1:80" x14ac:dyDescent="0.3">
      <c r="B70" t="s">
        <v>155</v>
      </c>
      <c r="H70">
        <f t="shared" si="5"/>
        <v>0</v>
      </c>
      <c r="I70">
        <v>46</v>
      </c>
      <c r="J70">
        <f t="shared" si="6"/>
        <v>0</v>
      </c>
      <c r="K70">
        <f t="shared" si="7"/>
        <v>0</v>
      </c>
      <c r="L70">
        <f t="shared" si="8"/>
        <v>0</v>
      </c>
      <c r="M70">
        <f t="shared" si="9"/>
        <v>0</v>
      </c>
      <c r="N70">
        <f t="shared" si="10"/>
        <v>0</v>
      </c>
      <c r="P70">
        <f t="shared" si="11"/>
        <v>0</v>
      </c>
      <c r="R70" t="e">
        <f t="shared" si="12"/>
        <v>#N/A</v>
      </c>
      <c r="S70" t="e" cm="1">
        <f t="array" ref="S70">INDEX($A$25:$A$325, R70, 1)</f>
        <v>#N/A</v>
      </c>
      <c r="T70" t="e">
        <f t="shared" si="13"/>
        <v>#N/A</v>
      </c>
      <c r="U70" t="e" cm="1">
        <f t="array" ref="U70">INDEX($F$25:$F$325, R70, 1)</f>
        <v>#N/A</v>
      </c>
      <c r="V70" t="e" cm="1">
        <f t="array" ref="V70">INDEX($B$25:$B$325, R70+2, 1)</f>
        <v>#N/A</v>
      </c>
      <c r="X70">
        <f t="shared" si="30"/>
        <v>0</v>
      </c>
      <c r="Y70">
        <v>0</v>
      </c>
      <c r="Z70">
        <f t="shared" si="14"/>
        <v>0</v>
      </c>
      <c r="AA70">
        <v>0</v>
      </c>
      <c r="AB70">
        <f t="shared" si="15"/>
        <v>0</v>
      </c>
      <c r="AC70">
        <v>0</v>
      </c>
      <c r="AD70">
        <f t="shared" si="16"/>
        <v>0</v>
      </c>
      <c r="AE70">
        <v>0</v>
      </c>
      <c r="AF70">
        <f t="shared" si="17"/>
        <v>0</v>
      </c>
      <c r="AG70">
        <v>0</v>
      </c>
      <c r="AH70">
        <f t="shared" si="18"/>
        <v>0</v>
      </c>
      <c r="AI70">
        <v>0</v>
      </c>
      <c r="AJ70">
        <f t="shared" si="19"/>
        <v>0</v>
      </c>
      <c r="AK70">
        <v>0</v>
      </c>
      <c r="AL70">
        <f t="shared" si="20"/>
        <v>0</v>
      </c>
      <c r="AM70">
        <v>0</v>
      </c>
      <c r="AN70">
        <f t="shared" si="21"/>
        <v>0</v>
      </c>
      <c r="AO70">
        <v>0</v>
      </c>
      <c r="AP70">
        <f t="shared" si="22"/>
        <v>0</v>
      </c>
      <c r="AQ70">
        <v>0</v>
      </c>
      <c r="BE70" s="6"/>
      <c r="BX70">
        <v>0</v>
      </c>
      <c r="BY70">
        <v>0</v>
      </c>
      <c r="CA70">
        <v>45</v>
      </c>
      <c r="CB70">
        <f t="shared" si="26"/>
        <v>0</v>
      </c>
    </row>
    <row r="71" spans="1:80" x14ac:dyDescent="0.3">
      <c r="A71" t="s">
        <v>81</v>
      </c>
      <c r="B71" t="s">
        <v>158</v>
      </c>
      <c r="C71" t="s">
        <v>96</v>
      </c>
      <c r="D71" t="s">
        <v>97</v>
      </c>
      <c r="E71">
        <v>10.8</v>
      </c>
      <c r="F71">
        <v>5.5</v>
      </c>
      <c r="H71">
        <f t="shared" si="5"/>
        <v>16</v>
      </c>
      <c r="I71">
        <v>47</v>
      </c>
      <c r="J71">
        <f t="shared" si="6"/>
        <v>0</v>
      </c>
      <c r="K71">
        <f t="shared" si="7"/>
        <v>0</v>
      </c>
      <c r="L71">
        <f t="shared" si="8"/>
        <v>0</v>
      </c>
      <c r="M71">
        <f t="shared" si="9"/>
        <v>0</v>
      </c>
      <c r="N71">
        <f t="shared" si="10"/>
        <v>0</v>
      </c>
      <c r="P71">
        <f t="shared" si="11"/>
        <v>0</v>
      </c>
      <c r="R71" t="e">
        <f t="shared" si="12"/>
        <v>#N/A</v>
      </c>
      <c r="S71" t="e" cm="1">
        <f t="array" ref="S71">INDEX($A$25:$A$325, R71, 1)</f>
        <v>#N/A</v>
      </c>
      <c r="T71" t="e">
        <f t="shared" si="13"/>
        <v>#N/A</v>
      </c>
      <c r="U71" t="e" cm="1">
        <f t="array" ref="U71">INDEX($F$25:$F$325, R71, 1)</f>
        <v>#N/A</v>
      </c>
      <c r="V71" t="e" cm="1">
        <f t="array" ref="V71">INDEX($B$25:$B$325, R71+2, 1)</f>
        <v>#N/A</v>
      </c>
      <c r="X71">
        <f t="shared" si="30"/>
        <v>0</v>
      </c>
      <c r="Y71">
        <v>0</v>
      </c>
      <c r="Z71">
        <f t="shared" si="14"/>
        <v>0</v>
      </c>
      <c r="AA71">
        <v>0</v>
      </c>
      <c r="AB71">
        <f t="shared" si="15"/>
        <v>0</v>
      </c>
      <c r="AC71">
        <v>0</v>
      </c>
      <c r="AD71">
        <f t="shared" si="16"/>
        <v>0</v>
      </c>
      <c r="AE71">
        <v>0</v>
      </c>
      <c r="AF71">
        <f t="shared" si="17"/>
        <v>0</v>
      </c>
      <c r="AG71">
        <v>0</v>
      </c>
      <c r="AH71">
        <f t="shared" si="18"/>
        <v>0</v>
      </c>
      <c r="AI71">
        <v>0</v>
      </c>
      <c r="AJ71">
        <f t="shared" si="19"/>
        <v>0</v>
      </c>
      <c r="AK71">
        <v>0</v>
      </c>
      <c r="AL71">
        <f t="shared" si="20"/>
        <v>0</v>
      </c>
      <c r="AM71">
        <v>0</v>
      </c>
      <c r="AN71">
        <f t="shared" si="21"/>
        <v>0</v>
      </c>
      <c r="AO71">
        <v>0</v>
      </c>
      <c r="AP71">
        <f t="shared" si="22"/>
        <v>0</v>
      </c>
      <c r="AQ71">
        <v>0</v>
      </c>
      <c r="BE71" s="6"/>
      <c r="BX71">
        <v>0</v>
      </c>
      <c r="BY71">
        <v>0</v>
      </c>
      <c r="CA71">
        <v>46</v>
      </c>
      <c r="CB71">
        <f t="shared" si="26"/>
        <v>0</v>
      </c>
    </row>
    <row r="72" spans="1:80" x14ac:dyDescent="0.3">
      <c r="B72" t="s">
        <v>159</v>
      </c>
      <c r="H72">
        <f t="shared" si="5"/>
        <v>0</v>
      </c>
      <c r="I72">
        <v>48</v>
      </c>
      <c r="J72">
        <f t="shared" si="6"/>
        <v>0</v>
      </c>
      <c r="K72">
        <f t="shared" si="7"/>
        <v>0</v>
      </c>
      <c r="L72">
        <f t="shared" si="8"/>
        <v>0</v>
      </c>
      <c r="M72">
        <f t="shared" si="9"/>
        <v>0</v>
      </c>
      <c r="N72">
        <f t="shared" si="10"/>
        <v>0</v>
      </c>
      <c r="P72">
        <f t="shared" si="11"/>
        <v>0</v>
      </c>
      <c r="R72" t="e">
        <f t="shared" si="12"/>
        <v>#N/A</v>
      </c>
      <c r="S72" t="e" cm="1">
        <f t="array" ref="S72">INDEX($A$25:$A$325, R72, 1)</f>
        <v>#N/A</v>
      </c>
      <c r="T72" t="e">
        <f t="shared" si="13"/>
        <v>#N/A</v>
      </c>
      <c r="U72" t="e" cm="1">
        <f t="array" ref="U72">INDEX($F$25:$F$325, R72, 1)</f>
        <v>#N/A</v>
      </c>
      <c r="V72" t="e" cm="1">
        <f t="array" ref="V72">INDEX($B$25:$B$325, R72+2, 1)</f>
        <v>#N/A</v>
      </c>
      <c r="X72">
        <f t="shared" si="30"/>
        <v>0</v>
      </c>
      <c r="Y72">
        <v>0</v>
      </c>
      <c r="Z72">
        <f t="shared" si="14"/>
        <v>0</v>
      </c>
      <c r="AA72">
        <v>0</v>
      </c>
      <c r="AB72">
        <f t="shared" si="15"/>
        <v>0</v>
      </c>
      <c r="AC72">
        <v>0</v>
      </c>
      <c r="AD72">
        <f t="shared" si="16"/>
        <v>0</v>
      </c>
      <c r="AE72">
        <v>0</v>
      </c>
      <c r="AF72">
        <f t="shared" si="17"/>
        <v>0</v>
      </c>
      <c r="AG72">
        <v>0</v>
      </c>
      <c r="AH72">
        <f t="shared" si="18"/>
        <v>0</v>
      </c>
      <c r="AI72">
        <v>0</v>
      </c>
      <c r="AJ72">
        <f t="shared" si="19"/>
        <v>0</v>
      </c>
      <c r="AK72">
        <v>0</v>
      </c>
      <c r="AL72">
        <f t="shared" si="20"/>
        <v>0</v>
      </c>
      <c r="AM72">
        <v>0</v>
      </c>
      <c r="AN72">
        <f t="shared" si="21"/>
        <v>0</v>
      </c>
      <c r="AO72">
        <v>0</v>
      </c>
      <c r="AP72">
        <f t="shared" si="22"/>
        <v>0</v>
      </c>
      <c r="AQ72">
        <v>0</v>
      </c>
      <c r="BE72" s="6"/>
      <c r="BX72">
        <v>0</v>
      </c>
      <c r="BY72">
        <v>0</v>
      </c>
      <c r="CA72">
        <v>47</v>
      </c>
      <c r="CB72">
        <f t="shared" si="26"/>
        <v>0</v>
      </c>
    </row>
    <row r="73" spans="1:80" x14ac:dyDescent="0.3">
      <c r="B73" t="s">
        <v>160</v>
      </c>
      <c r="H73">
        <f t="shared" si="5"/>
        <v>0</v>
      </c>
      <c r="I73">
        <v>49</v>
      </c>
      <c r="J73">
        <f t="shared" si="6"/>
        <v>0</v>
      </c>
      <c r="K73">
        <f t="shared" si="7"/>
        <v>0</v>
      </c>
      <c r="L73">
        <f t="shared" si="8"/>
        <v>0</v>
      </c>
      <c r="M73">
        <f t="shared" si="9"/>
        <v>0</v>
      </c>
      <c r="N73">
        <f t="shared" si="10"/>
        <v>0</v>
      </c>
      <c r="P73">
        <f t="shared" si="11"/>
        <v>0</v>
      </c>
      <c r="R73" t="e">
        <f t="shared" si="12"/>
        <v>#N/A</v>
      </c>
      <c r="S73" t="e" cm="1">
        <f t="array" ref="S73">INDEX($A$25:$A$325, R73, 1)</f>
        <v>#N/A</v>
      </c>
      <c r="T73" t="e">
        <f t="shared" si="13"/>
        <v>#N/A</v>
      </c>
      <c r="U73" t="e" cm="1">
        <f t="array" ref="U73">INDEX($F$25:$F$325, R73, 1)</f>
        <v>#N/A</v>
      </c>
      <c r="V73" t="e" cm="1">
        <f t="array" ref="V73">INDEX($B$25:$B$325, R73+2, 1)</f>
        <v>#N/A</v>
      </c>
      <c r="X73">
        <f t="shared" si="30"/>
        <v>0</v>
      </c>
      <c r="Y73">
        <v>0</v>
      </c>
      <c r="Z73">
        <f t="shared" si="14"/>
        <v>0</v>
      </c>
      <c r="AA73">
        <v>0</v>
      </c>
      <c r="AB73">
        <f t="shared" si="15"/>
        <v>0</v>
      </c>
      <c r="AC73">
        <v>0</v>
      </c>
      <c r="AD73">
        <f t="shared" si="16"/>
        <v>0</v>
      </c>
      <c r="AE73">
        <v>0</v>
      </c>
      <c r="AF73">
        <f t="shared" si="17"/>
        <v>0</v>
      </c>
      <c r="AG73">
        <v>0</v>
      </c>
      <c r="AH73">
        <f t="shared" si="18"/>
        <v>0</v>
      </c>
      <c r="AI73">
        <v>0</v>
      </c>
      <c r="AJ73">
        <f t="shared" si="19"/>
        <v>0</v>
      </c>
      <c r="AK73">
        <v>0</v>
      </c>
      <c r="AL73">
        <f t="shared" si="20"/>
        <v>0</v>
      </c>
      <c r="AM73">
        <v>0</v>
      </c>
      <c r="AN73">
        <f t="shared" si="21"/>
        <v>0</v>
      </c>
      <c r="AO73">
        <v>0</v>
      </c>
      <c r="AP73">
        <f t="shared" si="22"/>
        <v>0</v>
      </c>
      <c r="AQ73">
        <v>0</v>
      </c>
      <c r="BE73" s="6"/>
      <c r="BX73">
        <v>0</v>
      </c>
      <c r="BY73">
        <v>0</v>
      </c>
      <c r="CA73">
        <v>48</v>
      </c>
      <c r="CB73">
        <f t="shared" si="26"/>
        <v>0</v>
      </c>
    </row>
    <row r="74" spans="1:80" x14ac:dyDescent="0.3">
      <c r="B74" t="s">
        <v>162</v>
      </c>
      <c r="H74">
        <f t="shared" si="5"/>
        <v>0</v>
      </c>
      <c r="I74">
        <v>50</v>
      </c>
      <c r="J74">
        <f t="shared" si="6"/>
        <v>0</v>
      </c>
      <c r="K74">
        <f t="shared" si="7"/>
        <v>0</v>
      </c>
      <c r="L74">
        <f t="shared" si="8"/>
        <v>0</v>
      </c>
      <c r="M74">
        <f t="shared" si="9"/>
        <v>0</v>
      </c>
      <c r="N74">
        <f t="shared" si="10"/>
        <v>0</v>
      </c>
      <c r="P74">
        <f t="shared" si="11"/>
        <v>0</v>
      </c>
      <c r="R74" t="e">
        <f t="shared" si="12"/>
        <v>#N/A</v>
      </c>
      <c r="S74" t="e" cm="1">
        <f t="array" ref="S74">INDEX($A$25:$A$325, R74, 1)</f>
        <v>#N/A</v>
      </c>
      <c r="T74" t="e">
        <f t="shared" si="13"/>
        <v>#N/A</v>
      </c>
      <c r="U74" t="e" cm="1">
        <f t="array" ref="U74">INDEX($F$25:$F$325, R74, 1)</f>
        <v>#N/A</v>
      </c>
      <c r="V74" t="e" cm="1">
        <f t="array" ref="V74">INDEX($B$25:$B$325, R74+2, 1)</f>
        <v>#N/A</v>
      </c>
      <c r="X74">
        <f t="shared" si="30"/>
        <v>0</v>
      </c>
      <c r="Y74">
        <v>0</v>
      </c>
      <c r="Z74">
        <f t="shared" si="14"/>
        <v>0</v>
      </c>
      <c r="AA74">
        <v>0</v>
      </c>
      <c r="AB74">
        <f t="shared" si="15"/>
        <v>0</v>
      </c>
      <c r="AC74">
        <v>0</v>
      </c>
      <c r="AD74">
        <f t="shared" si="16"/>
        <v>0</v>
      </c>
      <c r="AE74">
        <v>0</v>
      </c>
      <c r="AF74">
        <f t="shared" si="17"/>
        <v>0</v>
      </c>
      <c r="AG74">
        <v>0</v>
      </c>
      <c r="AH74">
        <f t="shared" si="18"/>
        <v>0</v>
      </c>
      <c r="AI74">
        <v>0</v>
      </c>
      <c r="AJ74">
        <f t="shared" si="19"/>
        <v>0</v>
      </c>
      <c r="AK74">
        <v>0</v>
      </c>
      <c r="AL74">
        <f t="shared" si="20"/>
        <v>0</v>
      </c>
      <c r="AM74">
        <v>0</v>
      </c>
      <c r="AN74">
        <f t="shared" si="21"/>
        <v>0</v>
      </c>
      <c r="AO74">
        <v>0</v>
      </c>
      <c r="AP74">
        <f t="shared" si="22"/>
        <v>0</v>
      </c>
      <c r="AQ74">
        <v>0</v>
      </c>
      <c r="BE74" s="6"/>
      <c r="BX74">
        <v>0</v>
      </c>
      <c r="BY74">
        <v>0</v>
      </c>
      <c r="CA74">
        <v>49</v>
      </c>
      <c r="CB74">
        <f t="shared" si="26"/>
        <v>0</v>
      </c>
    </row>
    <row r="75" spans="1:80" x14ac:dyDescent="0.3">
      <c r="B75" t="s">
        <v>163</v>
      </c>
      <c r="H75">
        <f t="shared" si="5"/>
        <v>0</v>
      </c>
      <c r="I75">
        <v>51</v>
      </c>
      <c r="J75">
        <f t="shared" si="6"/>
        <v>0</v>
      </c>
      <c r="K75">
        <f t="shared" si="7"/>
        <v>0</v>
      </c>
      <c r="L75">
        <f t="shared" si="8"/>
        <v>0</v>
      </c>
      <c r="M75">
        <f t="shared" si="9"/>
        <v>0</v>
      </c>
      <c r="N75">
        <f t="shared" si="10"/>
        <v>0</v>
      </c>
      <c r="P75">
        <f t="shared" si="11"/>
        <v>0</v>
      </c>
      <c r="R75" t="e">
        <f t="shared" si="12"/>
        <v>#N/A</v>
      </c>
      <c r="S75" t="e" cm="1">
        <f t="array" ref="S75">INDEX($A$25:$A$325, R75, 1)</f>
        <v>#N/A</v>
      </c>
      <c r="T75" t="e">
        <f t="shared" si="13"/>
        <v>#N/A</v>
      </c>
      <c r="U75" t="e" cm="1">
        <f t="array" ref="U75">INDEX($F$25:$F$325, R75, 1)</f>
        <v>#N/A</v>
      </c>
      <c r="V75" t="e" cm="1">
        <f t="array" ref="V75">INDEX($B$25:$B$325, R75+2, 1)</f>
        <v>#N/A</v>
      </c>
      <c r="X75">
        <f t="shared" si="30"/>
        <v>0</v>
      </c>
      <c r="Y75">
        <v>0</v>
      </c>
      <c r="Z75">
        <f t="shared" si="14"/>
        <v>0</v>
      </c>
      <c r="AA75">
        <v>0</v>
      </c>
      <c r="AB75">
        <f t="shared" si="15"/>
        <v>0</v>
      </c>
      <c r="AC75">
        <v>0</v>
      </c>
      <c r="AD75">
        <f t="shared" si="16"/>
        <v>0</v>
      </c>
      <c r="AE75">
        <v>0</v>
      </c>
      <c r="AF75">
        <f t="shared" si="17"/>
        <v>0</v>
      </c>
      <c r="AG75">
        <v>0</v>
      </c>
      <c r="AH75">
        <f t="shared" si="18"/>
        <v>0</v>
      </c>
      <c r="AI75">
        <v>0</v>
      </c>
      <c r="AJ75">
        <f t="shared" si="19"/>
        <v>0</v>
      </c>
      <c r="AK75">
        <v>0</v>
      </c>
      <c r="AL75">
        <f t="shared" si="20"/>
        <v>0</v>
      </c>
      <c r="AM75">
        <v>0</v>
      </c>
      <c r="AN75">
        <f t="shared" si="21"/>
        <v>0</v>
      </c>
      <c r="AO75">
        <v>0</v>
      </c>
      <c r="AP75">
        <f t="shared" si="22"/>
        <v>0</v>
      </c>
      <c r="AQ75">
        <v>0</v>
      </c>
      <c r="BE75" s="6"/>
      <c r="BX75">
        <v>0</v>
      </c>
      <c r="BY75">
        <v>0</v>
      </c>
      <c r="CA75">
        <v>50</v>
      </c>
      <c r="CB75">
        <f t="shared" si="26"/>
        <v>0</v>
      </c>
    </row>
    <row r="76" spans="1:80" x14ac:dyDescent="0.3">
      <c r="H76">
        <f t="shared" si="5"/>
        <v>0</v>
      </c>
      <c r="I76">
        <v>52</v>
      </c>
      <c r="J76">
        <f t="shared" si="6"/>
        <v>0</v>
      </c>
      <c r="K76">
        <f t="shared" si="7"/>
        <v>0</v>
      </c>
      <c r="L76">
        <f t="shared" si="8"/>
        <v>0</v>
      </c>
      <c r="M76">
        <f t="shared" si="9"/>
        <v>0</v>
      </c>
      <c r="N76">
        <f t="shared" si="10"/>
        <v>0</v>
      </c>
      <c r="P76">
        <f t="shared" si="11"/>
        <v>0</v>
      </c>
      <c r="R76" t="e">
        <f t="shared" si="12"/>
        <v>#N/A</v>
      </c>
      <c r="S76" t="e" cm="1">
        <f t="array" ref="S76">INDEX($A$25:$A$325, R76, 1)</f>
        <v>#N/A</v>
      </c>
      <c r="T76" t="e">
        <f t="shared" si="13"/>
        <v>#N/A</v>
      </c>
      <c r="U76" t="e" cm="1">
        <f t="array" ref="U76">INDEX($F$25:$F$325, R76, 1)</f>
        <v>#N/A</v>
      </c>
      <c r="V76" t="e" cm="1">
        <f t="array" ref="V76">INDEX($B$25:$B$325, R76+2, 1)</f>
        <v>#N/A</v>
      </c>
      <c r="X76">
        <f t="shared" si="30"/>
        <v>0</v>
      </c>
      <c r="Y76">
        <v>0</v>
      </c>
      <c r="Z76">
        <f t="shared" si="14"/>
        <v>0</v>
      </c>
      <c r="AA76">
        <v>0</v>
      </c>
      <c r="AB76">
        <f t="shared" si="15"/>
        <v>0</v>
      </c>
      <c r="AC76">
        <v>0</v>
      </c>
      <c r="AD76">
        <f t="shared" si="16"/>
        <v>0</v>
      </c>
      <c r="AE76">
        <v>0</v>
      </c>
      <c r="AF76">
        <f t="shared" si="17"/>
        <v>0</v>
      </c>
      <c r="AG76">
        <v>0</v>
      </c>
      <c r="AH76">
        <f t="shared" si="18"/>
        <v>0</v>
      </c>
      <c r="AI76">
        <v>0</v>
      </c>
      <c r="AJ76">
        <f t="shared" si="19"/>
        <v>0</v>
      </c>
      <c r="AK76">
        <v>0</v>
      </c>
      <c r="AL76">
        <f t="shared" si="20"/>
        <v>0</v>
      </c>
      <c r="AM76">
        <v>0</v>
      </c>
      <c r="AN76">
        <f t="shared" si="21"/>
        <v>0</v>
      </c>
      <c r="AO76">
        <v>0</v>
      </c>
      <c r="AP76">
        <f t="shared" si="22"/>
        <v>0</v>
      </c>
      <c r="AQ76">
        <v>0</v>
      </c>
      <c r="BE76" s="6"/>
      <c r="BX76">
        <v>0</v>
      </c>
      <c r="BY76">
        <v>0</v>
      </c>
      <c r="CA76">
        <v>51</v>
      </c>
      <c r="CB76">
        <f t="shared" si="26"/>
        <v>0</v>
      </c>
    </row>
    <row r="77" spans="1:80" x14ac:dyDescent="0.3">
      <c r="H77">
        <f t="shared" si="5"/>
        <v>0</v>
      </c>
      <c r="I77">
        <v>53</v>
      </c>
      <c r="J77">
        <f t="shared" si="6"/>
        <v>0</v>
      </c>
      <c r="K77">
        <f t="shared" si="7"/>
        <v>0</v>
      </c>
      <c r="L77">
        <f t="shared" si="8"/>
        <v>0</v>
      </c>
      <c r="M77">
        <f t="shared" si="9"/>
        <v>0</v>
      </c>
      <c r="N77">
        <f t="shared" si="10"/>
        <v>0</v>
      </c>
      <c r="P77">
        <f t="shared" si="11"/>
        <v>0</v>
      </c>
      <c r="R77" t="e">
        <f t="shared" si="12"/>
        <v>#N/A</v>
      </c>
      <c r="S77" t="e" cm="1">
        <f t="array" ref="S77">INDEX($A$25:$A$325, R77, 1)</f>
        <v>#N/A</v>
      </c>
      <c r="T77" t="e">
        <f t="shared" si="13"/>
        <v>#N/A</v>
      </c>
      <c r="U77" t="e" cm="1">
        <f t="array" ref="U77">INDEX($F$25:$F$325, R77, 1)</f>
        <v>#N/A</v>
      </c>
      <c r="V77" t="e" cm="1">
        <f t="array" ref="V77">INDEX($B$25:$B$325, R77+2, 1)</f>
        <v>#N/A</v>
      </c>
      <c r="X77">
        <f t="shared" si="30"/>
        <v>0</v>
      </c>
      <c r="Y77">
        <v>0</v>
      </c>
      <c r="Z77">
        <f t="shared" si="14"/>
        <v>0</v>
      </c>
      <c r="AA77">
        <v>0</v>
      </c>
      <c r="AB77">
        <f t="shared" si="15"/>
        <v>0</v>
      </c>
      <c r="AC77">
        <v>0</v>
      </c>
      <c r="AD77">
        <f t="shared" si="16"/>
        <v>0</v>
      </c>
      <c r="AE77">
        <v>0</v>
      </c>
      <c r="AF77">
        <f t="shared" si="17"/>
        <v>0</v>
      </c>
      <c r="AG77">
        <v>0</v>
      </c>
      <c r="AH77">
        <f t="shared" si="18"/>
        <v>0</v>
      </c>
      <c r="AI77">
        <v>0</v>
      </c>
      <c r="AJ77">
        <f t="shared" si="19"/>
        <v>0</v>
      </c>
      <c r="AK77">
        <v>0</v>
      </c>
      <c r="AL77">
        <f t="shared" si="20"/>
        <v>0</v>
      </c>
      <c r="AM77">
        <v>0</v>
      </c>
      <c r="AN77">
        <f t="shared" si="21"/>
        <v>0</v>
      </c>
      <c r="AO77">
        <v>0</v>
      </c>
      <c r="AP77">
        <f t="shared" si="22"/>
        <v>0</v>
      </c>
      <c r="AQ77">
        <v>0</v>
      </c>
      <c r="BE77" s="6"/>
      <c r="BX77">
        <v>0</v>
      </c>
      <c r="BY77">
        <v>0</v>
      </c>
      <c r="CA77">
        <v>52</v>
      </c>
      <c r="CB77">
        <f t="shared" si="26"/>
        <v>0</v>
      </c>
    </row>
    <row r="78" spans="1:80" x14ac:dyDescent="0.3">
      <c r="H78">
        <f t="shared" si="5"/>
        <v>0</v>
      </c>
      <c r="I78">
        <v>54</v>
      </c>
      <c r="J78">
        <f t="shared" si="6"/>
        <v>0</v>
      </c>
      <c r="K78">
        <f t="shared" si="7"/>
        <v>0</v>
      </c>
      <c r="L78">
        <f t="shared" si="8"/>
        <v>0</v>
      </c>
      <c r="M78">
        <f t="shared" si="9"/>
        <v>0</v>
      </c>
      <c r="N78">
        <f t="shared" si="10"/>
        <v>0</v>
      </c>
      <c r="P78">
        <f t="shared" si="11"/>
        <v>0</v>
      </c>
      <c r="R78" t="e">
        <f t="shared" si="12"/>
        <v>#N/A</v>
      </c>
      <c r="S78" t="e" cm="1">
        <f t="array" ref="S78">INDEX($A$25:$A$325, R78, 1)</f>
        <v>#N/A</v>
      </c>
      <c r="T78" t="e">
        <f t="shared" si="13"/>
        <v>#N/A</v>
      </c>
      <c r="U78" t="e" cm="1">
        <f t="array" ref="U78">INDEX($F$25:$F$325, R78, 1)</f>
        <v>#N/A</v>
      </c>
      <c r="V78" t="e" cm="1">
        <f t="array" ref="V78">INDEX($B$25:$B$325, R78+2, 1)</f>
        <v>#N/A</v>
      </c>
      <c r="X78">
        <f t="shared" si="30"/>
        <v>0</v>
      </c>
      <c r="Y78">
        <v>0</v>
      </c>
      <c r="Z78">
        <f t="shared" si="14"/>
        <v>0</v>
      </c>
      <c r="AA78">
        <v>0</v>
      </c>
      <c r="AB78">
        <f t="shared" si="15"/>
        <v>0</v>
      </c>
      <c r="AC78">
        <v>0</v>
      </c>
      <c r="AD78">
        <f t="shared" si="16"/>
        <v>0</v>
      </c>
      <c r="AE78">
        <v>0</v>
      </c>
      <c r="AF78">
        <f t="shared" si="17"/>
        <v>0</v>
      </c>
      <c r="AG78">
        <v>0</v>
      </c>
      <c r="AH78">
        <f t="shared" si="18"/>
        <v>0</v>
      </c>
      <c r="AI78">
        <v>0</v>
      </c>
      <c r="AJ78">
        <f t="shared" si="19"/>
        <v>0</v>
      </c>
      <c r="AK78">
        <v>0</v>
      </c>
      <c r="AL78">
        <f t="shared" si="20"/>
        <v>0</v>
      </c>
      <c r="AM78">
        <v>0</v>
      </c>
      <c r="AN78">
        <f t="shared" si="21"/>
        <v>0</v>
      </c>
      <c r="AO78">
        <v>0</v>
      </c>
      <c r="AP78">
        <f t="shared" si="22"/>
        <v>0</v>
      </c>
      <c r="AQ78">
        <v>0</v>
      </c>
      <c r="BE78" s="6"/>
      <c r="BX78">
        <v>0</v>
      </c>
      <c r="BY78">
        <v>0</v>
      </c>
      <c r="CA78">
        <v>53</v>
      </c>
      <c r="CB78">
        <f t="shared" si="26"/>
        <v>0</v>
      </c>
    </row>
    <row r="79" spans="1:80" x14ac:dyDescent="0.3">
      <c r="H79">
        <f t="shared" si="5"/>
        <v>0</v>
      </c>
      <c r="I79">
        <v>55</v>
      </c>
      <c r="J79">
        <f t="shared" si="6"/>
        <v>0</v>
      </c>
      <c r="K79">
        <f t="shared" si="7"/>
        <v>0</v>
      </c>
      <c r="L79">
        <f t="shared" si="8"/>
        <v>0</v>
      </c>
      <c r="M79">
        <f t="shared" si="9"/>
        <v>0</v>
      </c>
      <c r="N79">
        <f t="shared" si="10"/>
        <v>0</v>
      </c>
      <c r="P79">
        <f t="shared" si="11"/>
        <v>0</v>
      </c>
      <c r="R79" t="e">
        <f t="shared" si="12"/>
        <v>#N/A</v>
      </c>
      <c r="S79" t="e" cm="1">
        <f t="array" ref="S79">INDEX($A$25:$A$325, R79, 1)</f>
        <v>#N/A</v>
      </c>
      <c r="T79" t="e">
        <f t="shared" si="13"/>
        <v>#N/A</v>
      </c>
      <c r="U79" t="e" cm="1">
        <f t="array" ref="U79">INDEX($F$25:$F$325, R79, 1)</f>
        <v>#N/A</v>
      </c>
      <c r="V79" t="e" cm="1">
        <f t="array" ref="V79">INDEX($B$25:$B$325, R79+2, 1)</f>
        <v>#N/A</v>
      </c>
      <c r="X79">
        <f t="shared" si="30"/>
        <v>0</v>
      </c>
      <c r="Y79">
        <v>0</v>
      </c>
      <c r="Z79">
        <f t="shared" si="14"/>
        <v>0</v>
      </c>
      <c r="AA79">
        <v>0</v>
      </c>
      <c r="AB79">
        <f t="shared" si="15"/>
        <v>0</v>
      </c>
      <c r="AC79">
        <v>0</v>
      </c>
      <c r="AD79">
        <f t="shared" si="16"/>
        <v>0</v>
      </c>
      <c r="AE79">
        <v>0</v>
      </c>
      <c r="AF79">
        <f t="shared" si="17"/>
        <v>0</v>
      </c>
      <c r="AG79">
        <v>0</v>
      </c>
      <c r="AH79">
        <f t="shared" si="18"/>
        <v>0</v>
      </c>
      <c r="AI79">
        <v>0</v>
      </c>
      <c r="AJ79">
        <f t="shared" si="19"/>
        <v>0</v>
      </c>
      <c r="AK79">
        <v>0</v>
      </c>
      <c r="AL79">
        <f t="shared" si="20"/>
        <v>0</v>
      </c>
      <c r="AM79">
        <v>0</v>
      </c>
      <c r="AN79">
        <f t="shared" si="21"/>
        <v>0</v>
      </c>
      <c r="AO79">
        <v>0</v>
      </c>
      <c r="AP79">
        <f t="shared" si="22"/>
        <v>0</v>
      </c>
      <c r="AQ79">
        <v>0</v>
      </c>
      <c r="BE79" s="6"/>
      <c r="BX79">
        <v>0</v>
      </c>
      <c r="BY79">
        <v>0</v>
      </c>
      <c r="CA79">
        <v>54</v>
      </c>
      <c r="CB79">
        <f t="shared" si="26"/>
        <v>0</v>
      </c>
    </row>
    <row r="80" spans="1:80" x14ac:dyDescent="0.3">
      <c r="H80">
        <f t="shared" si="5"/>
        <v>0</v>
      </c>
      <c r="I80">
        <v>56</v>
      </c>
      <c r="J80">
        <f t="shared" si="6"/>
        <v>0</v>
      </c>
      <c r="K80">
        <f t="shared" si="7"/>
        <v>0</v>
      </c>
      <c r="L80">
        <f t="shared" si="8"/>
        <v>0</v>
      </c>
      <c r="M80">
        <f t="shared" si="9"/>
        <v>0</v>
      </c>
      <c r="N80">
        <f t="shared" si="10"/>
        <v>0</v>
      </c>
      <c r="P80">
        <f t="shared" si="11"/>
        <v>0</v>
      </c>
      <c r="R80" t="e">
        <f t="shared" si="12"/>
        <v>#N/A</v>
      </c>
      <c r="S80" t="e" cm="1">
        <f t="array" ref="S80">INDEX($A$25:$A$325, R80, 1)</f>
        <v>#N/A</v>
      </c>
      <c r="T80" t="e">
        <f t="shared" si="13"/>
        <v>#N/A</v>
      </c>
      <c r="U80" t="e" cm="1">
        <f t="array" ref="U80">INDEX($F$25:$F$325, R80, 1)</f>
        <v>#N/A</v>
      </c>
      <c r="V80" t="e" cm="1">
        <f t="array" ref="V80">INDEX($B$25:$B$325, R80+2, 1)</f>
        <v>#N/A</v>
      </c>
      <c r="X80">
        <f t="shared" si="30"/>
        <v>0</v>
      </c>
      <c r="Y80">
        <v>0</v>
      </c>
      <c r="Z80">
        <f t="shared" si="14"/>
        <v>0</v>
      </c>
      <c r="AA80">
        <v>0</v>
      </c>
      <c r="AB80">
        <f t="shared" si="15"/>
        <v>0</v>
      </c>
      <c r="AC80">
        <v>0</v>
      </c>
      <c r="AD80">
        <f t="shared" si="16"/>
        <v>0</v>
      </c>
      <c r="AE80">
        <v>0</v>
      </c>
      <c r="AF80">
        <f t="shared" si="17"/>
        <v>0</v>
      </c>
      <c r="AG80">
        <v>0</v>
      </c>
      <c r="AH80">
        <f t="shared" si="18"/>
        <v>0</v>
      </c>
      <c r="AI80">
        <v>0</v>
      </c>
      <c r="AJ80">
        <f t="shared" si="19"/>
        <v>0</v>
      </c>
      <c r="AK80">
        <v>0</v>
      </c>
      <c r="AL80">
        <f t="shared" si="20"/>
        <v>0</v>
      </c>
      <c r="AM80">
        <v>0</v>
      </c>
      <c r="AN80">
        <f t="shared" si="21"/>
        <v>0</v>
      </c>
      <c r="AO80">
        <v>0</v>
      </c>
      <c r="AP80">
        <f t="shared" si="22"/>
        <v>0</v>
      </c>
      <c r="AQ80">
        <v>0</v>
      </c>
      <c r="BE80" s="6"/>
      <c r="BX80">
        <v>0</v>
      </c>
      <c r="BY80">
        <v>0</v>
      </c>
      <c r="CA80">
        <v>55</v>
      </c>
      <c r="CB80">
        <f t="shared" si="26"/>
        <v>0</v>
      </c>
    </row>
    <row r="81" spans="8:80" x14ac:dyDescent="0.3">
      <c r="H81">
        <f t="shared" si="5"/>
        <v>0</v>
      </c>
      <c r="I81">
        <v>57</v>
      </c>
      <c r="J81">
        <f t="shared" si="6"/>
        <v>0</v>
      </c>
      <c r="K81">
        <f t="shared" si="7"/>
        <v>0</v>
      </c>
      <c r="L81">
        <f t="shared" si="8"/>
        <v>0</v>
      </c>
      <c r="M81">
        <f t="shared" si="9"/>
        <v>0</v>
      </c>
      <c r="N81">
        <f t="shared" si="10"/>
        <v>0</v>
      </c>
      <c r="P81">
        <f t="shared" si="11"/>
        <v>0</v>
      </c>
      <c r="R81" t="e">
        <f t="shared" si="12"/>
        <v>#N/A</v>
      </c>
      <c r="S81" t="e" cm="1">
        <f t="array" ref="S81">INDEX($A$25:$A$325, R81, 1)</f>
        <v>#N/A</v>
      </c>
      <c r="T81" t="e">
        <f t="shared" si="13"/>
        <v>#N/A</v>
      </c>
      <c r="U81" t="e" cm="1">
        <f t="array" ref="U81">INDEX($F$25:$F$325, R81, 1)</f>
        <v>#N/A</v>
      </c>
      <c r="V81" t="e" cm="1">
        <f t="array" ref="V81">INDEX($B$25:$B$325, R81+2, 1)</f>
        <v>#N/A</v>
      </c>
      <c r="X81">
        <f t="shared" si="30"/>
        <v>0</v>
      </c>
      <c r="Y81">
        <v>0</v>
      </c>
      <c r="Z81">
        <f t="shared" si="14"/>
        <v>0</v>
      </c>
      <c r="AA81">
        <v>0</v>
      </c>
      <c r="AB81">
        <f t="shared" si="15"/>
        <v>0</v>
      </c>
      <c r="AC81">
        <v>0</v>
      </c>
      <c r="AD81">
        <f t="shared" si="16"/>
        <v>0</v>
      </c>
      <c r="AE81">
        <v>0</v>
      </c>
      <c r="AF81">
        <f t="shared" si="17"/>
        <v>0</v>
      </c>
      <c r="AG81">
        <v>0</v>
      </c>
      <c r="AH81">
        <f t="shared" si="18"/>
        <v>0</v>
      </c>
      <c r="AI81">
        <v>0</v>
      </c>
      <c r="AJ81">
        <f t="shared" si="19"/>
        <v>0</v>
      </c>
      <c r="AK81">
        <v>0</v>
      </c>
      <c r="AL81">
        <f t="shared" si="20"/>
        <v>0</v>
      </c>
      <c r="AM81">
        <v>0</v>
      </c>
      <c r="AN81">
        <f t="shared" si="21"/>
        <v>0</v>
      </c>
      <c r="AO81">
        <v>0</v>
      </c>
      <c r="AP81">
        <f t="shared" si="22"/>
        <v>0</v>
      </c>
      <c r="AQ81">
        <v>0</v>
      </c>
      <c r="BE81" s="6"/>
      <c r="BX81">
        <v>0</v>
      </c>
      <c r="BY81">
        <v>0</v>
      </c>
      <c r="CA81">
        <v>56</v>
      </c>
      <c r="CB81">
        <f t="shared" si="26"/>
        <v>0</v>
      </c>
    </row>
    <row r="82" spans="8:80" x14ac:dyDescent="0.3">
      <c r="H82">
        <f t="shared" si="5"/>
        <v>0</v>
      </c>
      <c r="I82">
        <v>58</v>
      </c>
      <c r="J82">
        <f t="shared" si="6"/>
        <v>0</v>
      </c>
      <c r="K82">
        <f t="shared" si="7"/>
        <v>0</v>
      </c>
      <c r="L82">
        <f t="shared" si="8"/>
        <v>0</v>
      </c>
      <c r="M82">
        <f t="shared" si="9"/>
        <v>0</v>
      </c>
      <c r="N82">
        <f t="shared" si="10"/>
        <v>0</v>
      </c>
      <c r="P82">
        <f t="shared" si="11"/>
        <v>0</v>
      </c>
      <c r="R82" t="e">
        <f t="shared" si="12"/>
        <v>#N/A</v>
      </c>
      <c r="S82" t="e" cm="1">
        <f t="array" ref="S82">INDEX($A$25:$A$325, R82, 1)</f>
        <v>#N/A</v>
      </c>
      <c r="T82" t="e">
        <f t="shared" si="13"/>
        <v>#N/A</v>
      </c>
      <c r="U82" t="e" cm="1">
        <f t="array" ref="U82">INDEX($F$25:$F$325, R82, 1)</f>
        <v>#N/A</v>
      </c>
      <c r="V82" t="e" cm="1">
        <f t="array" ref="V82">INDEX($B$25:$B$325, R82+2, 1)</f>
        <v>#N/A</v>
      </c>
      <c r="X82">
        <f t="shared" si="30"/>
        <v>0</v>
      </c>
      <c r="Y82">
        <v>0</v>
      </c>
      <c r="Z82">
        <f t="shared" si="14"/>
        <v>0</v>
      </c>
      <c r="AA82">
        <v>0</v>
      </c>
      <c r="AB82">
        <f t="shared" si="15"/>
        <v>0</v>
      </c>
      <c r="AC82">
        <v>0</v>
      </c>
      <c r="AD82">
        <f t="shared" si="16"/>
        <v>0</v>
      </c>
      <c r="AE82">
        <v>0</v>
      </c>
      <c r="AF82">
        <f t="shared" si="17"/>
        <v>0</v>
      </c>
      <c r="AG82">
        <v>0</v>
      </c>
      <c r="AH82">
        <f t="shared" si="18"/>
        <v>0</v>
      </c>
      <c r="AI82">
        <v>0</v>
      </c>
      <c r="AJ82">
        <f t="shared" si="19"/>
        <v>0</v>
      </c>
      <c r="AK82">
        <v>0</v>
      </c>
      <c r="AL82">
        <f t="shared" si="20"/>
        <v>0</v>
      </c>
      <c r="AM82">
        <v>0</v>
      </c>
      <c r="AN82">
        <f t="shared" si="21"/>
        <v>0</v>
      </c>
      <c r="AO82">
        <v>0</v>
      </c>
      <c r="AP82">
        <f t="shared" si="22"/>
        <v>0</v>
      </c>
      <c r="AQ82">
        <v>0</v>
      </c>
      <c r="BE82" s="6"/>
      <c r="BX82">
        <v>0</v>
      </c>
      <c r="BY82">
        <v>0</v>
      </c>
      <c r="CA82">
        <v>57</v>
      </c>
      <c r="CB82">
        <f t="shared" si="26"/>
        <v>0</v>
      </c>
    </row>
    <row r="83" spans="8:80" x14ac:dyDescent="0.3">
      <c r="H83">
        <f t="shared" si="5"/>
        <v>0</v>
      </c>
      <c r="I83">
        <v>59</v>
      </c>
      <c r="J83">
        <f t="shared" si="6"/>
        <v>0</v>
      </c>
      <c r="K83">
        <f t="shared" si="7"/>
        <v>0</v>
      </c>
      <c r="L83">
        <f t="shared" si="8"/>
        <v>0</v>
      </c>
      <c r="M83">
        <f t="shared" si="9"/>
        <v>0</v>
      </c>
      <c r="N83">
        <f t="shared" si="10"/>
        <v>0</v>
      </c>
      <c r="P83">
        <f t="shared" si="11"/>
        <v>0</v>
      </c>
      <c r="R83" t="e">
        <f t="shared" si="12"/>
        <v>#N/A</v>
      </c>
      <c r="S83" t="e" cm="1">
        <f t="array" ref="S83">INDEX($A$25:$A$325, R83, 1)</f>
        <v>#N/A</v>
      </c>
      <c r="T83" t="e">
        <f t="shared" si="13"/>
        <v>#N/A</v>
      </c>
      <c r="U83" t="e" cm="1">
        <f t="array" ref="U83">INDEX($F$25:$F$325, R83, 1)</f>
        <v>#N/A</v>
      </c>
      <c r="V83" t="e" cm="1">
        <f t="array" ref="V83">INDEX($B$25:$B$325, R83+2, 1)</f>
        <v>#N/A</v>
      </c>
      <c r="X83">
        <f t="shared" si="30"/>
        <v>0</v>
      </c>
      <c r="Y83">
        <v>0</v>
      </c>
      <c r="Z83">
        <f t="shared" si="14"/>
        <v>0</v>
      </c>
      <c r="AA83">
        <v>0</v>
      </c>
      <c r="AB83">
        <f t="shared" si="15"/>
        <v>0</v>
      </c>
      <c r="AC83">
        <v>0</v>
      </c>
      <c r="AD83">
        <f t="shared" si="16"/>
        <v>0</v>
      </c>
      <c r="AE83">
        <v>0</v>
      </c>
      <c r="AF83">
        <f t="shared" si="17"/>
        <v>0</v>
      </c>
      <c r="AG83">
        <v>0</v>
      </c>
      <c r="AH83">
        <f t="shared" si="18"/>
        <v>0</v>
      </c>
      <c r="AI83">
        <v>0</v>
      </c>
      <c r="AJ83">
        <f t="shared" si="19"/>
        <v>0</v>
      </c>
      <c r="AK83">
        <v>0</v>
      </c>
      <c r="AL83">
        <f t="shared" si="20"/>
        <v>0</v>
      </c>
      <c r="AM83">
        <v>0</v>
      </c>
      <c r="AN83">
        <f t="shared" si="21"/>
        <v>0</v>
      </c>
      <c r="AO83">
        <v>0</v>
      </c>
      <c r="AP83">
        <f t="shared" si="22"/>
        <v>0</v>
      </c>
      <c r="AQ83">
        <v>0</v>
      </c>
      <c r="BE83" s="6"/>
      <c r="BX83">
        <v>0</v>
      </c>
      <c r="BY83">
        <v>0</v>
      </c>
      <c r="CA83">
        <v>58</v>
      </c>
      <c r="CB83">
        <f t="shared" si="26"/>
        <v>0</v>
      </c>
    </row>
    <row r="84" spans="8:80" x14ac:dyDescent="0.3">
      <c r="H84">
        <f t="shared" si="5"/>
        <v>0</v>
      </c>
      <c r="I84">
        <v>60</v>
      </c>
      <c r="J84">
        <f t="shared" si="6"/>
        <v>0</v>
      </c>
      <c r="K84">
        <f t="shared" si="7"/>
        <v>0</v>
      </c>
      <c r="L84">
        <f t="shared" si="8"/>
        <v>0</v>
      </c>
      <c r="M84">
        <f t="shared" si="9"/>
        <v>0</v>
      </c>
      <c r="N84">
        <f t="shared" si="10"/>
        <v>0</v>
      </c>
      <c r="P84">
        <f t="shared" si="11"/>
        <v>0</v>
      </c>
      <c r="R84" t="e">
        <f t="shared" si="12"/>
        <v>#N/A</v>
      </c>
      <c r="S84" t="e" cm="1">
        <f t="array" ref="S84">INDEX($A$25:$A$325, R84, 1)</f>
        <v>#N/A</v>
      </c>
      <c r="T84" t="e">
        <f t="shared" si="13"/>
        <v>#N/A</v>
      </c>
      <c r="U84" t="e" cm="1">
        <f t="array" ref="U84">INDEX($F$25:$F$325, R84, 1)</f>
        <v>#N/A</v>
      </c>
      <c r="V84" t="e" cm="1">
        <f t="array" ref="V84">INDEX($B$25:$B$325, R84+2, 1)</f>
        <v>#N/A</v>
      </c>
      <c r="X84">
        <f t="shared" si="30"/>
        <v>0</v>
      </c>
      <c r="Y84">
        <v>0</v>
      </c>
      <c r="Z84">
        <f t="shared" si="14"/>
        <v>0</v>
      </c>
      <c r="AA84">
        <v>0</v>
      </c>
      <c r="AB84">
        <f t="shared" si="15"/>
        <v>0</v>
      </c>
      <c r="AC84">
        <v>0</v>
      </c>
      <c r="AD84">
        <f t="shared" si="16"/>
        <v>0</v>
      </c>
      <c r="AE84">
        <v>0</v>
      </c>
      <c r="AF84">
        <f t="shared" si="17"/>
        <v>0</v>
      </c>
      <c r="AG84">
        <v>0</v>
      </c>
      <c r="AH84">
        <f t="shared" si="18"/>
        <v>0</v>
      </c>
      <c r="AI84">
        <v>0</v>
      </c>
      <c r="AJ84">
        <f t="shared" si="19"/>
        <v>0</v>
      </c>
      <c r="AK84">
        <v>0</v>
      </c>
      <c r="AL84">
        <f t="shared" si="20"/>
        <v>0</v>
      </c>
      <c r="AM84">
        <v>0</v>
      </c>
      <c r="AN84">
        <f t="shared" si="21"/>
        <v>0</v>
      </c>
      <c r="AO84">
        <v>0</v>
      </c>
      <c r="AP84">
        <f t="shared" si="22"/>
        <v>0</v>
      </c>
      <c r="AQ84">
        <v>0</v>
      </c>
      <c r="BE84" s="6"/>
      <c r="BX84">
        <v>0</v>
      </c>
      <c r="BY84">
        <v>0</v>
      </c>
      <c r="CA84">
        <v>59</v>
      </c>
      <c r="CB84">
        <f t="shared" si="26"/>
        <v>0</v>
      </c>
    </row>
    <row r="85" spans="8:80" x14ac:dyDescent="0.3">
      <c r="H85">
        <f t="shared" si="5"/>
        <v>0</v>
      </c>
      <c r="I85">
        <v>61</v>
      </c>
      <c r="J85">
        <f t="shared" si="6"/>
        <v>0</v>
      </c>
      <c r="K85">
        <f t="shared" si="7"/>
        <v>0</v>
      </c>
      <c r="L85">
        <f t="shared" si="8"/>
        <v>0</v>
      </c>
      <c r="M85">
        <f t="shared" si="9"/>
        <v>0</v>
      </c>
      <c r="N85">
        <f t="shared" si="10"/>
        <v>0</v>
      </c>
      <c r="P85">
        <f t="shared" si="11"/>
        <v>0</v>
      </c>
      <c r="R85" t="e">
        <f t="shared" si="12"/>
        <v>#N/A</v>
      </c>
      <c r="S85" t="e" cm="1">
        <f t="array" ref="S85">INDEX($A$25:$A$325, R85, 1)</f>
        <v>#N/A</v>
      </c>
      <c r="T85" t="e">
        <f t="shared" si="13"/>
        <v>#N/A</v>
      </c>
      <c r="U85" t="e" cm="1">
        <f t="array" ref="U85">INDEX($F$25:$F$325, R85, 1)</f>
        <v>#N/A</v>
      </c>
      <c r="V85" t="e" cm="1">
        <f t="array" ref="V85">INDEX($B$25:$B$325, R85+2, 1)</f>
        <v>#N/A</v>
      </c>
      <c r="X85">
        <f t="shared" si="30"/>
        <v>0</v>
      </c>
      <c r="Y85">
        <v>0</v>
      </c>
      <c r="Z85">
        <f t="shared" si="14"/>
        <v>0</v>
      </c>
      <c r="AA85">
        <v>0</v>
      </c>
      <c r="AB85">
        <f t="shared" si="15"/>
        <v>0</v>
      </c>
      <c r="AC85">
        <v>0</v>
      </c>
      <c r="AD85">
        <f t="shared" si="16"/>
        <v>0</v>
      </c>
      <c r="AE85">
        <v>0</v>
      </c>
      <c r="AF85">
        <f t="shared" si="17"/>
        <v>0</v>
      </c>
      <c r="AG85">
        <v>0</v>
      </c>
      <c r="AH85">
        <f t="shared" si="18"/>
        <v>0</v>
      </c>
      <c r="AI85">
        <v>0</v>
      </c>
      <c r="AJ85">
        <f t="shared" si="19"/>
        <v>0</v>
      </c>
      <c r="AK85">
        <v>0</v>
      </c>
      <c r="AL85">
        <f t="shared" si="20"/>
        <v>0</v>
      </c>
      <c r="AM85">
        <v>0</v>
      </c>
      <c r="AN85">
        <f t="shared" si="21"/>
        <v>0</v>
      </c>
      <c r="AO85">
        <v>0</v>
      </c>
      <c r="AP85">
        <f t="shared" si="22"/>
        <v>0</v>
      </c>
      <c r="AQ85">
        <v>0</v>
      </c>
      <c r="BE85" s="6"/>
      <c r="BX85">
        <v>0</v>
      </c>
      <c r="BY85">
        <v>0</v>
      </c>
      <c r="CA85">
        <v>60</v>
      </c>
      <c r="CB85">
        <f t="shared" si="26"/>
        <v>0</v>
      </c>
    </row>
    <row r="86" spans="8:80" x14ac:dyDescent="0.3">
      <c r="H86">
        <f t="shared" si="5"/>
        <v>0</v>
      </c>
      <c r="I86">
        <v>62</v>
      </c>
      <c r="J86">
        <f t="shared" si="6"/>
        <v>0</v>
      </c>
      <c r="K86">
        <f t="shared" si="7"/>
        <v>0</v>
      </c>
      <c r="L86">
        <f t="shared" si="8"/>
        <v>0</v>
      </c>
      <c r="M86">
        <f t="shared" si="9"/>
        <v>0</v>
      </c>
      <c r="N86">
        <f t="shared" si="10"/>
        <v>0</v>
      </c>
      <c r="P86">
        <f t="shared" si="11"/>
        <v>0</v>
      </c>
      <c r="R86" t="e">
        <f t="shared" si="12"/>
        <v>#N/A</v>
      </c>
      <c r="S86" t="e" cm="1">
        <f t="array" ref="S86">INDEX($A$25:$A$325, R86, 1)</f>
        <v>#N/A</v>
      </c>
      <c r="T86" t="e">
        <f t="shared" si="13"/>
        <v>#N/A</v>
      </c>
      <c r="U86" t="e" cm="1">
        <f t="array" ref="U86">INDEX($F$25:$F$325, R86, 1)</f>
        <v>#N/A</v>
      </c>
      <c r="V86" t="e" cm="1">
        <f t="array" ref="V86">INDEX($B$25:$B$325, R86+2, 1)</f>
        <v>#N/A</v>
      </c>
      <c r="X86">
        <f t="shared" si="30"/>
        <v>0</v>
      </c>
      <c r="Y86">
        <v>0</v>
      </c>
      <c r="Z86">
        <f t="shared" si="14"/>
        <v>0</v>
      </c>
      <c r="AA86">
        <v>0</v>
      </c>
      <c r="AB86">
        <f t="shared" si="15"/>
        <v>0</v>
      </c>
      <c r="AC86">
        <v>0</v>
      </c>
      <c r="AD86">
        <f t="shared" si="16"/>
        <v>0</v>
      </c>
      <c r="AE86">
        <v>0</v>
      </c>
      <c r="AF86">
        <f t="shared" si="17"/>
        <v>0</v>
      </c>
      <c r="AG86">
        <v>0</v>
      </c>
      <c r="AH86">
        <f t="shared" si="18"/>
        <v>0</v>
      </c>
      <c r="AI86">
        <v>0</v>
      </c>
      <c r="AJ86">
        <f t="shared" si="19"/>
        <v>0</v>
      </c>
      <c r="AK86">
        <v>0</v>
      </c>
      <c r="AL86">
        <f t="shared" si="20"/>
        <v>0</v>
      </c>
      <c r="AM86">
        <v>0</v>
      </c>
      <c r="AN86">
        <f t="shared" si="21"/>
        <v>0</v>
      </c>
      <c r="AO86">
        <v>0</v>
      </c>
      <c r="AP86">
        <f t="shared" si="22"/>
        <v>0</v>
      </c>
      <c r="AQ86">
        <v>0</v>
      </c>
      <c r="BE86" s="6"/>
      <c r="BX86">
        <v>0</v>
      </c>
      <c r="BY86">
        <v>0</v>
      </c>
      <c r="CA86">
        <v>61</v>
      </c>
      <c r="CB86">
        <f t="shared" si="26"/>
        <v>0</v>
      </c>
    </row>
    <row r="87" spans="8:80" x14ac:dyDescent="0.3">
      <c r="H87">
        <f t="shared" si="5"/>
        <v>0</v>
      </c>
      <c r="I87">
        <v>63</v>
      </c>
      <c r="J87">
        <f t="shared" si="6"/>
        <v>0</v>
      </c>
      <c r="K87">
        <f t="shared" si="7"/>
        <v>0</v>
      </c>
      <c r="L87">
        <f t="shared" si="8"/>
        <v>0</v>
      </c>
      <c r="M87">
        <f t="shared" si="9"/>
        <v>0</v>
      </c>
      <c r="N87">
        <f t="shared" si="10"/>
        <v>0</v>
      </c>
      <c r="P87">
        <f t="shared" si="11"/>
        <v>0</v>
      </c>
      <c r="R87" t="e">
        <f t="shared" si="12"/>
        <v>#N/A</v>
      </c>
      <c r="S87" t="e" cm="1">
        <f t="array" ref="S87">INDEX($A$25:$A$325, R87, 1)</f>
        <v>#N/A</v>
      </c>
      <c r="T87" t="e">
        <f t="shared" si="13"/>
        <v>#N/A</v>
      </c>
      <c r="U87" t="e" cm="1">
        <f t="array" ref="U87">INDEX($F$25:$F$325, R87, 1)</f>
        <v>#N/A</v>
      </c>
      <c r="V87" t="e" cm="1">
        <f t="array" ref="V87">INDEX($B$25:$B$325, R87+2, 1)</f>
        <v>#N/A</v>
      </c>
      <c r="X87">
        <f t="shared" si="30"/>
        <v>0</v>
      </c>
      <c r="Y87">
        <v>0</v>
      </c>
      <c r="Z87">
        <f t="shared" si="14"/>
        <v>0</v>
      </c>
      <c r="AA87">
        <v>0</v>
      </c>
      <c r="AB87">
        <f t="shared" si="15"/>
        <v>0</v>
      </c>
      <c r="AC87">
        <v>0</v>
      </c>
      <c r="AD87">
        <f t="shared" si="16"/>
        <v>0</v>
      </c>
      <c r="AE87">
        <v>0</v>
      </c>
      <c r="AF87">
        <f t="shared" si="17"/>
        <v>0</v>
      </c>
      <c r="AG87">
        <v>0</v>
      </c>
      <c r="AH87">
        <f t="shared" si="18"/>
        <v>0</v>
      </c>
      <c r="AI87">
        <v>0</v>
      </c>
      <c r="AJ87">
        <f t="shared" si="19"/>
        <v>0</v>
      </c>
      <c r="AK87">
        <v>0</v>
      </c>
      <c r="AL87">
        <f t="shared" si="20"/>
        <v>0</v>
      </c>
      <c r="AM87">
        <v>0</v>
      </c>
      <c r="AN87">
        <f t="shared" si="21"/>
        <v>0</v>
      </c>
      <c r="AO87">
        <v>0</v>
      </c>
      <c r="AP87">
        <f t="shared" si="22"/>
        <v>0</v>
      </c>
      <c r="AQ87">
        <v>0</v>
      </c>
      <c r="BE87" s="6"/>
      <c r="BX87">
        <v>0</v>
      </c>
      <c r="BY87">
        <v>0</v>
      </c>
      <c r="CA87">
        <v>62</v>
      </c>
      <c r="CB87">
        <f t="shared" si="26"/>
        <v>0</v>
      </c>
    </row>
    <row r="88" spans="8:80" x14ac:dyDescent="0.3">
      <c r="H88">
        <f t="shared" si="5"/>
        <v>0</v>
      </c>
      <c r="I88">
        <v>64</v>
      </c>
      <c r="J88">
        <f t="shared" si="6"/>
        <v>0</v>
      </c>
      <c r="K88">
        <f t="shared" si="7"/>
        <v>0</v>
      </c>
      <c r="L88">
        <f t="shared" si="8"/>
        <v>0</v>
      </c>
      <c r="M88">
        <f t="shared" si="9"/>
        <v>0</v>
      </c>
      <c r="N88">
        <f t="shared" si="10"/>
        <v>0</v>
      </c>
      <c r="P88">
        <f t="shared" si="11"/>
        <v>0</v>
      </c>
      <c r="R88" t="e">
        <f t="shared" si="12"/>
        <v>#N/A</v>
      </c>
      <c r="S88" t="e" cm="1">
        <f t="array" ref="S88">INDEX($A$25:$A$325, R88, 1)</f>
        <v>#N/A</v>
      </c>
      <c r="T88" t="e">
        <f t="shared" si="13"/>
        <v>#N/A</v>
      </c>
      <c r="U88" t="e" cm="1">
        <f t="array" ref="U88">INDEX($F$25:$F$325, R88, 1)</f>
        <v>#N/A</v>
      </c>
      <c r="V88" t="e" cm="1">
        <f t="array" ref="V88">INDEX($B$25:$B$325, R88+2, 1)</f>
        <v>#N/A</v>
      </c>
      <c r="X88">
        <f t="shared" si="30"/>
        <v>0</v>
      </c>
      <c r="Y88">
        <v>0</v>
      </c>
      <c r="Z88">
        <f t="shared" si="14"/>
        <v>0</v>
      </c>
      <c r="AA88">
        <v>0</v>
      </c>
      <c r="AB88">
        <f t="shared" si="15"/>
        <v>0</v>
      </c>
      <c r="AC88">
        <v>0</v>
      </c>
      <c r="AD88">
        <f t="shared" si="16"/>
        <v>0</v>
      </c>
      <c r="AE88">
        <v>0</v>
      </c>
      <c r="AF88">
        <f t="shared" si="17"/>
        <v>0</v>
      </c>
      <c r="AG88">
        <v>0</v>
      </c>
      <c r="AH88">
        <f t="shared" si="18"/>
        <v>0</v>
      </c>
      <c r="AI88">
        <v>0</v>
      </c>
      <c r="AJ88">
        <f t="shared" si="19"/>
        <v>0</v>
      </c>
      <c r="AK88">
        <v>0</v>
      </c>
      <c r="AL88">
        <f t="shared" si="20"/>
        <v>0</v>
      </c>
      <c r="AM88">
        <v>0</v>
      </c>
      <c r="AN88">
        <f t="shared" si="21"/>
        <v>0</v>
      </c>
      <c r="AO88">
        <v>0</v>
      </c>
      <c r="AP88">
        <f t="shared" si="22"/>
        <v>0</v>
      </c>
      <c r="AQ88">
        <v>0</v>
      </c>
      <c r="BE88" s="6"/>
      <c r="BX88">
        <v>0</v>
      </c>
      <c r="BY88">
        <v>0</v>
      </c>
      <c r="CA88">
        <v>63</v>
      </c>
      <c r="CB88">
        <f t="shared" si="26"/>
        <v>0</v>
      </c>
    </row>
    <row r="89" spans="8:80" x14ac:dyDescent="0.3">
      <c r="H89">
        <f t="shared" si="5"/>
        <v>0</v>
      </c>
      <c r="I89">
        <v>65</v>
      </c>
      <c r="J89">
        <f t="shared" si="6"/>
        <v>0</v>
      </c>
      <c r="K89">
        <f t="shared" si="7"/>
        <v>0</v>
      </c>
      <c r="L89">
        <f t="shared" si="8"/>
        <v>0</v>
      </c>
      <c r="M89">
        <f t="shared" si="9"/>
        <v>0</v>
      </c>
      <c r="N89">
        <f t="shared" si="10"/>
        <v>0</v>
      </c>
      <c r="P89">
        <f t="shared" si="11"/>
        <v>0</v>
      </c>
      <c r="R89" t="e">
        <f t="shared" si="12"/>
        <v>#N/A</v>
      </c>
      <c r="S89" t="e" cm="1">
        <f t="array" ref="S89">INDEX($A$25:$A$325, R89, 1)</f>
        <v>#N/A</v>
      </c>
      <c r="T89" t="e">
        <f t="shared" si="13"/>
        <v>#N/A</v>
      </c>
      <c r="U89" t="e" cm="1">
        <f t="array" ref="U89">INDEX($F$25:$F$325, R89, 1)</f>
        <v>#N/A</v>
      </c>
      <c r="V89" t="e" cm="1">
        <f t="array" ref="V89">INDEX($B$25:$B$325, R89+2, 1)</f>
        <v>#N/A</v>
      </c>
      <c r="X89">
        <f t="shared" ref="X89:X120" si="31">IF($L89=X$24,$M89, 0)</f>
        <v>0</v>
      </c>
      <c r="Y89">
        <v>0</v>
      </c>
      <c r="Z89">
        <f t="shared" si="14"/>
        <v>0</v>
      </c>
      <c r="AA89">
        <v>0</v>
      </c>
      <c r="AB89">
        <f t="shared" si="15"/>
        <v>0</v>
      </c>
      <c r="AC89">
        <v>0</v>
      </c>
      <c r="AD89">
        <f t="shared" si="16"/>
        <v>0</v>
      </c>
      <c r="AE89">
        <v>0</v>
      </c>
      <c r="AF89">
        <f t="shared" si="17"/>
        <v>0</v>
      </c>
      <c r="AG89">
        <v>0</v>
      </c>
      <c r="AH89">
        <f t="shared" si="18"/>
        <v>0</v>
      </c>
      <c r="AI89">
        <v>0</v>
      </c>
      <c r="AJ89">
        <f t="shared" si="19"/>
        <v>0</v>
      </c>
      <c r="AK89">
        <v>0</v>
      </c>
      <c r="AL89">
        <f t="shared" si="20"/>
        <v>0</v>
      </c>
      <c r="AM89">
        <v>0</v>
      </c>
      <c r="AN89">
        <f t="shared" si="21"/>
        <v>0</v>
      </c>
      <c r="AO89">
        <v>0</v>
      </c>
      <c r="AP89">
        <f t="shared" si="22"/>
        <v>0</v>
      </c>
      <c r="AQ89">
        <v>0</v>
      </c>
      <c r="BE89" s="6"/>
      <c r="BX89">
        <v>0</v>
      </c>
      <c r="BY89">
        <v>0</v>
      </c>
      <c r="CA89">
        <v>64</v>
      </c>
      <c r="CB89">
        <f t="shared" si="26"/>
        <v>0</v>
      </c>
    </row>
    <row r="90" spans="8:80" x14ac:dyDescent="0.3">
      <c r="H90">
        <f t="shared" ref="H90:H127" si="32">IF(NOT(A90 = ""), MAX( H85:H89) + 1, 0)</f>
        <v>0</v>
      </c>
      <c r="I90">
        <v>66</v>
      </c>
      <c r="J90">
        <f t="shared" ref="J90:J128" si="33">_xlfn.IFNA(R90, 0)</f>
        <v>0</v>
      </c>
      <c r="K90">
        <f t="shared" ref="K90:K128" si="34">_xlfn.IFNA(S90, 0)</f>
        <v>0</v>
      </c>
      <c r="L90">
        <f t="shared" ref="L90:L128" si="35">_xlfn.IFNA(T90, 0)</f>
        <v>0</v>
      </c>
      <c r="M90">
        <f t="shared" ref="M90:M128" si="36">_xlfn.IFNA(U90, 0)</f>
        <v>0</v>
      </c>
      <c r="N90">
        <f t="shared" ref="N90:N128" si="37">_xlfn.IFNA(V90, 0)</f>
        <v>0</v>
      </c>
      <c r="P90">
        <f t="shared" ref="P90:P128" si="38">IF(OR(K90="bench", K90 = 0), 0, M90)</f>
        <v>0</v>
      </c>
      <c r="R90" t="e">
        <f t="shared" ref="R90:R128" si="39">MATCH($I90, $H$25:$H$325, 0)</f>
        <v>#N/A</v>
      </c>
      <c r="S90" t="e" cm="1">
        <f t="array" ref="S90">INDEX($A$25:$A$325, R90, 1)</f>
        <v>#N/A</v>
      </c>
      <c r="T90" t="e">
        <f t="shared" ref="T90:T128" si="40">IF(COUNTIF($B$1:$H$1, RIGHT(V90,LEN(V90)-2)) = 1, RIGHT(V90, LEN(V90)-2), RIGHT(V90, LEN(V90)-3))</f>
        <v>#N/A</v>
      </c>
      <c r="U90" t="e" cm="1">
        <f t="array" ref="U90">INDEX($F$25:$F$325, R90, 1)</f>
        <v>#N/A</v>
      </c>
      <c r="V90" t="e" cm="1">
        <f t="array" ref="V90">INDEX($B$25:$B$325, R90+2, 1)</f>
        <v>#N/A</v>
      </c>
      <c r="X90">
        <f t="shared" si="31"/>
        <v>0</v>
      </c>
      <c r="Y90">
        <v>0</v>
      </c>
      <c r="Z90">
        <f t="shared" ref="Z90:Z128" si="41">IF($L90=Z$24,$M90, 0)</f>
        <v>0</v>
      </c>
      <c r="AA90">
        <v>0</v>
      </c>
      <c r="AB90">
        <f t="shared" ref="AB90:AB128" si="42">IF($L90=AB$24,$M90, 0)</f>
        <v>0</v>
      </c>
      <c r="AC90">
        <v>0</v>
      </c>
      <c r="AD90">
        <f t="shared" ref="AD90:AD128" si="43">IF($L90=AD$24,$M90, 0)</f>
        <v>0</v>
      </c>
      <c r="AE90">
        <v>0</v>
      </c>
      <c r="AF90">
        <f t="shared" ref="AF90:AF128" si="44">IF($L90=AF$24,$M90, 0)</f>
        <v>0</v>
      </c>
      <c r="AG90">
        <v>0</v>
      </c>
      <c r="AH90">
        <f t="shared" ref="AH90:AH128" si="45">IF($L90=AH$24,$M90, 0)</f>
        <v>0</v>
      </c>
      <c r="AI90">
        <v>0</v>
      </c>
      <c r="AJ90">
        <f t="shared" ref="AJ90:AJ128" si="46">IF($L90=AJ$24,$M90, 0)</f>
        <v>0</v>
      </c>
      <c r="AK90">
        <v>0</v>
      </c>
      <c r="AL90">
        <f t="shared" ref="AL90:AL128" si="47">IF($L90=AL$24,$M90, 0)</f>
        <v>0</v>
      </c>
      <c r="AM90">
        <v>0</v>
      </c>
      <c r="AN90">
        <f t="shared" ref="AN90:AN128" si="48">IF($L90=AN$24,$M90, 0)</f>
        <v>0</v>
      </c>
      <c r="AO90">
        <v>0</v>
      </c>
      <c r="AP90">
        <f t="shared" ref="AP90:AP128" si="49">IF($L90=AP$24,$M90, 0)</f>
        <v>0</v>
      </c>
      <c r="AQ90">
        <v>0</v>
      </c>
      <c r="BE90" s="6"/>
      <c r="BX90">
        <v>0</v>
      </c>
      <c r="BY90">
        <v>0</v>
      </c>
      <c r="CA90">
        <v>65</v>
      </c>
      <c r="CB90">
        <f t="shared" si="26"/>
        <v>0</v>
      </c>
    </row>
    <row r="91" spans="8:80" x14ac:dyDescent="0.3">
      <c r="H91">
        <f t="shared" si="32"/>
        <v>0</v>
      </c>
      <c r="I91">
        <v>67</v>
      </c>
      <c r="J91">
        <f t="shared" si="33"/>
        <v>0</v>
      </c>
      <c r="K91">
        <f t="shared" si="34"/>
        <v>0</v>
      </c>
      <c r="L91">
        <f t="shared" si="35"/>
        <v>0</v>
      </c>
      <c r="M91">
        <f t="shared" si="36"/>
        <v>0</v>
      </c>
      <c r="N91">
        <f t="shared" si="37"/>
        <v>0</v>
      </c>
      <c r="P91">
        <f t="shared" si="38"/>
        <v>0</v>
      </c>
      <c r="R91" t="e">
        <f t="shared" si="39"/>
        <v>#N/A</v>
      </c>
      <c r="S91" t="e" cm="1">
        <f t="array" ref="S91">INDEX($A$25:$A$325, R91, 1)</f>
        <v>#N/A</v>
      </c>
      <c r="T91" t="e">
        <f t="shared" si="40"/>
        <v>#N/A</v>
      </c>
      <c r="U91" t="e" cm="1">
        <f t="array" ref="U91">INDEX($F$25:$F$325, R91, 1)</f>
        <v>#N/A</v>
      </c>
      <c r="V91" t="e" cm="1">
        <f t="array" ref="V91">INDEX($B$25:$B$325, R91+2, 1)</f>
        <v>#N/A</v>
      </c>
      <c r="X91">
        <f t="shared" si="31"/>
        <v>0</v>
      </c>
      <c r="Y91">
        <v>0</v>
      </c>
      <c r="Z91">
        <f t="shared" si="41"/>
        <v>0</v>
      </c>
      <c r="AA91">
        <v>0</v>
      </c>
      <c r="AB91">
        <f t="shared" si="42"/>
        <v>0</v>
      </c>
      <c r="AC91">
        <v>0</v>
      </c>
      <c r="AD91">
        <f t="shared" si="43"/>
        <v>0</v>
      </c>
      <c r="AE91">
        <v>0</v>
      </c>
      <c r="AF91">
        <f t="shared" si="44"/>
        <v>0</v>
      </c>
      <c r="AG91">
        <v>0</v>
      </c>
      <c r="AH91">
        <f t="shared" si="45"/>
        <v>0</v>
      </c>
      <c r="AI91">
        <v>0</v>
      </c>
      <c r="AJ91">
        <f t="shared" si="46"/>
        <v>0</v>
      </c>
      <c r="AK91">
        <v>0</v>
      </c>
      <c r="AL91">
        <f t="shared" si="47"/>
        <v>0</v>
      </c>
      <c r="AM91">
        <v>0</v>
      </c>
      <c r="AN91">
        <f t="shared" si="48"/>
        <v>0</v>
      </c>
      <c r="AO91">
        <v>0</v>
      </c>
      <c r="AP91">
        <f t="shared" si="49"/>
        <v>0</v>
      </c>
      <c r="AQ91">
        <v>0</v>
      </c>
      <c r="BE91" s="6"/>
      <c r="BX91">
        <v>0</v>
      </c>
      <c r="BY91">
        <v>0</v>
      </c>
      <c r="CA91">
        <v>66</v>
      </c>
      <c r="CB91">
        <f t="shared" ref="CB91:CB154" si="50">IF(CA91&lt;=BZ$20,BY91,0)</f>
        <v>0</v>
      </c>
    </row>
    <row r="92" spans="8:80" x14ac:dyDescent="0.3">
      <c r="H92">
        <f t="shared" si="32"/>
        <v>0</v>
      </c>
      <c r="I92">
        <v>68</v>
      </c>
      <c r="J92">
        <f t="shared" si="33"/>
        <v>0</v>
      </c>
      <c r="K92">
        <f t="shared" si="34"/>
        <v>0</v>
      </c>
      <c r="L92">
        <f t="shared" si="35"/>
        <v>0</v>
      </c>
      <c r="M92">
        <f t="shared" si="36"/>
        <v>0</v>
      </c>
      <c r="N92">
        <f t="shared" si="37"/>
        <v>0</v>
      </c>
      <c r="P92">
        <f t="shared" si="38"/>
        <v>0</v>
      </c>
      <c r="R92" t="e">
        <f t="shared" si="39"/>
        <v>#N/A</v>
      </c>
      <c r="S92" t="e" cm="1">
        <f t="array" ref="S92">INDEX($A$25:$A$325, R92, 1)</f>
        <v>#N/A</v>
      </c>
      <c r="T92" t="e">
        <f t="shared" si="40"/>
        <v>#N/A</v>
      </c>
      <c r="U92" t="e" cm="1">
        <f t="array" ref="U92">INDEX($F$25:$F$325, R92, 1)</f>
        <v>#N/A</v>
      </c>
      <c r="V92" t="e" cm="1">
        <f t="array" ref="V92">INDEX($B$25:$B$325, R92+2, 1)</f>
        <v>#N/A</v>
      </c>
      <c r="X92">
        <f t="shared" si="31"/>
        <v>0</v>
      </c>
      <c r="Y92">
        <v>0</v>
      </c>
      <c r="Z92">
        <f t="shared" si="41"/>
        <v>0</v>
      </c>
      <c r="AA92">
        <v>0</v>
      </c>
      <c r="AB92">
        <f t="shared" si="42"/>
        <v>0</v>
      </c>
      <c r="AC92">
        <v>0</v>
      </c>
      <c r="AD92">
        <f t="shared" si="43"/>
        <v>0</v>
      </c>
      <c r="AE92">
        <v>0</v>
      </c>
      <c r="AF92">
        <f t="shared" si="44"/>
        <v>0</v>
      </c>
      <c r="AG92">
        <v>0</v>
      </c>
      <c r="AH92">
        <f t="shared" si="45"/>
        <v>0</v>
      </c>
      <c r="AI92">
        <v>0</v>
      </c>
      <c r="AJ92">
        <f t="shared" si="46"/>
        <v>0</v>
      </c>
      <c r="AK92">
        <v>0</v>
      </c>
      <c r="AL92">
        <f t="shared" si="47"/>
        <v>0</v>
      </c>
      <c r="AM92">
        <v>0</v>
      </c>
      <c r="AN92">
        <f t="shared" si="48"/>
        <v>0</v>
      </c>
      <c r="AO92">
        <v>0</v>
      </c>
      <c r="AP92">
        <f t="shared" si="49"/>
        <v>0</v>
      </c>
      <c r="AQ92">
        <v>0</v>
      </c>
      <c r="BE92" s="6"/>
      <c r="BX92">
        <v>0</v>
      </c>
      <c r="BY92">
        <v>0</v>
      </c>
      <c r="CA92">
        <v>67</v>
      </c>
      <c r="CB92">
        <f t="shared" si="50"/>
        <v>0</v>
      </c>
    </row>
    <row r="93" spans="8:80" x14ac:dyDescent="0.3">
      <c r="H93">
        <f t="shared" si="32"/>
        <v>0</v>
      </c>
      <c r="I93">
        <v>69</v>
      </c>
      <c r="J93">
        <f t="shared" si="33"/>
        <v>0</v>
      </c>
      <c r="K93">
        <f t="shared" si="34"/>
        <v>0</v>
      </c>
      <c r="L93">
        <f t="shared" si="35"/>
        <v>0</v>
      </c>
      <c r="M93">
        <f t="shared" si="36"/>
        <v>0</v>
      </c>
      <c r="N93">
        <f t="shared" si="37"/>
        <v>0</v>
      </c>
      <c r="P93">
        <f t="shared" si="38"/>
        <v>0</v>
      </c>
      <c r="R93" t="e">
        <f t="shared" si="39"/>
        <v>#N/A</v>
      </c>
      <c r="S93" t="e" cm="1">
        <f t="array" ref="S93">INDEX($A$25:$A$325, R93, 1)</f>
        <v>#N/A</v>
      </c>
      <c r="T93" t="e">
        <f t="shared" si="40"/>
        <v>#N/A</v>
      </c>
      <c r="U93" t="e" cm="1">
        <f t="array" ref="U93">INDEX($F$25:$F$325, R93, 1)</f>
        <v>#N/A</v>
      </c>
      <c r="V93" t="e" cm="1">
        <f t="array" ref="V93">INDEX($B$25:$B$325, R93+2, 1)</f>
        <v>#N/A</v>
      </c>
      <c r="X93">
        <f t="shared" si="31"/>
        <v>0</v>
      </c>
      <c r="Y93">
        <v>0</v>
      </c>
      <c r="Z93">
        <f t="shared" si="41"/>
        <v>0</v>
      </c>
      <c r="AA93">
        <v>0</v>
      </c>
      <c r="AB93">
        <f t="shared" si="42"/>
        <v>0</v>
      </c>
      <c r="AC93">
        <v>0</v>
      </c>
      <c r="AD93">
        <f t="shared" si="43"/>
        <v>0</v>
      </c>
      <c r="AE93">
        <v>0</v>
      </c>
      <c r="AF93">
        <f t="shared" si="44"/>
        <v>0</v>
      </c>
      <c r="AG93">
        <v>0</v>
      </c>
      <c r="AH93">
        <f t="shared" si="45"/>
        <v>0</v>
      </c>
      <c r="AI93">
        <v>0</v>
      </c>
      <c r="AJ93">
        <f t="shared" si="46"/>
        <v>0</v>
      </c>
      <c r="AK93">
        <v>0</v>
      </c>
      <c r="AL93">
        <f t="shared" si="47"/>
        <v>0</v>
      </c>
      <c r="AM93">
        <v>0</v>
      </c>
      <c r="AN93">
        <f t="shared" si="48"/>
        <v>0</v>
      </c>
      <c r="AO93">
        <v>0</v>
      </c>
      <c r="AP93">
        <f t="shared" si="49"/>
        <v>0</v>
      </c>
      <c r="AQ93">
        <v>0</v>
      </c>
      <c r="BE93" s="6"/>
      <c r="BX93">
        <v>0</v>
      </c>
      <c r="BY93">
        <v>0</v>
      </c>
      <c r="CA93">
        <v>68</v>
      </c>
      <c r="CB93">
        <f t="shared" si="50"/>
        <v>0</v>
      </c>
    </row>
    <row r="94" spans="8:80" x14ac:dyDescent="0.3">
      <c r="H94">
        <f t="shared" si="32"/>
        <v>0</v>
      </c>
      <c r="I94">
        <v>70</v>
      </c>
      <c r="J94">
        <f t="shared" si="33"/>
        <v>0</v>
      </c>
      <c r="K94">
        <f t="shared" si="34"/>
        <v>0</v>
      </c>
      <c r="L94">
        <f t="shared" si="35"/>
        <v>0</v>
      </c>
      <c r="M94">
        <f t="shared" si="36"/>
        <v>0</v>
      </c>
      <c r="N94">
        <f t="shared" si="37"/>
        <v>0</v>
      </c>
      <c r="P94">
        <f t="shared" si="38"/>
        <v>0</v>
      </c>
      <c r="R94" t="e">
        <f t="shared" si="39"/>
        <v>#N/A</v>
      </c>
      <c r="S94" t="e" cm="1">
        <f t="array" ref="S94">INDEX($A$25:$A$325, R94, 1)</f>
        <v>#N/A</v>
      </c>
      <c r="T94" t="e">
        <f t="shared" si="40"/>
        <v>#N/A</v>
      </c>
      <c r="U94" t="e" cm="1">
        <f t="array" ref="U94">INDEX($F$25:$F$325, R94, 1)</f>
        <v>#N/A</v>
      </c>
      <c r="V94" t="e" cm="1">
        <f t="array" ref="V94">INDEX($B$25:$B$325, R94+2, 1)</f>
        <v>#N/A</v>
      </c>
      <c r="X94">
        <f t="shared" si="31"/>
        <v>0</v>
      </c>
      <c r="Y94">
        <v>0</v>
      </c>
      <c r="Z94">
        <f t="shared" si="41"/>
        <v>0</v>
      </c>
      <c r="AA94">
        <v>0</v>
      </c>
      <c r="AB94">
        <f t="shared" si="42"/>
        <v>0</v>
      </c>
      <c r="AC94">
        <v>0</v>
      </c>
      <c r="AD94">
        <f t="shared" si="43"/>
        <v>0</v>
      </c>
      <c r="AE94">
        <v>0</v>
      </c>
      <c r="AF94">
        <f t="shared" si="44"/>
        <v>0</v>
      </c>
      <c r="AG94">
        <v>0</v>
      </c>
      <c r="AH94">
        <f t="shared" si="45"/>
        <v>0</v>
      </c>
      <c r="AI94">
        <v>0</v>
      </c>
      <c r="AJ94">
        <f t="shared" si="46"/>
        <v>0</v>
      </c>
      <c r="AK94">
        <v>0</v>
      </c>
      <c r="AL94">
        <f t="shared" si="47"/>
        <v>0</v>
      </c>
      <c r="AM94">
        <v>0</v>
      </c>
      <c r="AN94">
        <f t="shared" si="48"/>
        <v>0</v>
      </c>
      <c r="AO94">
        <v>0</v>
      </c>
      <c r="AP94">
        <f t="shared" si="49"/>
        <v>0</v>
      </c>
      <c r="AQ94">
        <v>0</v>
      </c>
      <c r="BE94" s="6"/>
      <c r="BX94">
        <v>0</v>
      </c>
      <c r="BY94">
        <v>0</v>
      </c>
      <c r="CA94">
        <v>69</v>
      </c>
      <c r="CB94">
        <f t="shared" si="50"/>
        <v>0</v>
      </c>
    </row>
    <row r="95" spans="8:80" x14ac:dyDescent="0.3">
      <c r="H95">
        <f t="shared" si="32"/>
        <v>0</v>
      </c>
      <c r="I95">
        <v>71</v>
      </c>
      <c r="J95">
        <f t="shared" si="33"/>
        <v>0</v>
      </c>
      <c r="K95">
        <f t="shared" si="34"/>
        <v>0</v>
      </c>
      <c r="L95">
        <f t="shared" si="35"/>
        <v>0</v>
      </c>
      <c r="M95">
        <f t="shared" si="36"/>
        <v>0</v>
      </c>
      <c r="N95">
        <f t="shared" si="37"/>
        <v>0</v>
      </c>
      <c r="P95">
        <f t="shared" si="38"/>
        <v>0</v>
      </c>
      <c r="R95" t="e">
        <f t="shared" si="39"/>
        <v>#N/A</v>
      </c>
      <c r="S95" t="e" cm="1">
        <f t="array" ref="S95">INDEX($A$25:$A$325, R95, 1)</f>
        <v>#N/A</v>
      </c>
      <c r="T95" t="e">
        <f t="shared" si="40"/>
        <v>#N/A</v>
      </c>
      <c r="U95" t="e" cm="1">
        <f t="array" ref="U95">INDEX($F$25:$F$325, R95, 1)</f>
        <v>#N/A</v>
      </c>
      <c r="V95" t="e" cm="1">
        <f t="array" ref="V95">INDEX($B$25:$B$325, R95+2, 1)</f>
        <v>#N/A</v>
      </c>
      <c r="X95">
        <f t="shared" si="31"/>
        <v>0</v>
      </c>
      <c r="Y95">
        <v>0</v>
      </c>
      <c r="Z95">
        <f t="shared" si="41"/>
        <v>0</v>
      </c>
      <c r="AA95">
        <v>0</v>
      </c>
      <c r="AB95">
        <f t="shared" si="42"/>
        <v>0</v>
      </c>
      <c r="AC95">
        <v>0</v>
      </c>
      <c r="AD95">
        <f t="shared" si="43"/>
        <v>0</v>
      </c>
      <c r="AE95">
        <v>0</v>
      </c>
      <c r="AF95">
        <f t="shared" si="44"/>
        <v>0</v>
      </c>
      <c r="AG95">
        <v>0</v>
      </c>
      <c r="AH95">
        <f t="shared" si="45"/>
        <v>0</v>
      </c>
      <c r="AI95">
        <v>0</v>
      </c>
      <c r="AJ95">
        <f t="shared" si="46"/>
        <v>0</v>
      </c>
      <c r="AK95">
        <v>0</v>
      </c>
      <c r="AL95">
        <f t="shared" si="47"/>
        <v>0</v>
      </c>
      <c r="AM95">
        <v>0</v>
      </c>
      <c r="AN95">
        <f t="shared" si="48"/>
        <v>0</v>
      </c>
      <c r="AO95">
        <v>0</v>
      </c>
      <c r="AP95">
        <f t="shared" si="49"/>
        <v>0</v>
      </c>
      <c r="AQ95">
        <v>0</v>
      </c>
      <c r="BE95" s="6"/>
      <c r="BX95">
        <v>0</v>
      </c>
      <c r="BY95">
        <v>0</v>
      </c>
      <c r="CA95">
        <v>70</v>
      </c>
      <c r="CB95">
        <f t="shared" si="50"/>
        <v>0</v>
      </c>
    </row>
    <row r="96" spans="8:80" x14ac:dyDescent="0.3">
      <c r="H96">
        <f t="shared" si="32"/>
        <v>0</v>
      </c>
      <c r="I96">
        <v>72</v>
      </c>
      <c r="J96">
        <f t="shared" si="33"/>
        <v>0</v>
      </c>
      <c r="K96">
        <f t="shared" si="34"/>
        <v>0</v>
      </c>
      <c r="L96">
        <f t="shared" si="35"/>
        <v>0</v>
      </c>
      <c r="M96">
        <f t="shared" si="36"/>
        <v>0</v>
      </c>
      <c r="N96">
        <f t="shared" si="37"/>
        <v>0</v>
      </c>
      <c r="P96">
        <f t="shared" si="38"/>
        <v>0</v>
      </c>
      <c r="R96" t="e">
        <f t="shared" si="39"/>
        <v>#N/A</v>
      </c>
      <c r="S96" t="e" cm="1">
        <f t="array" ref="S96">INDEX($A$25:$A$325, R96, 1)</f>
        <v>#N/A</v>
      </c>
      <c r="T96" t="e">
        <f t="shared" si="40"/>
        <v>#N/A</v>
      </c>
      <c r="U96" t="e" cm="1">
        <f t="array" ref="U96">INDEX($F$25:$F$325, R96, 1)</f>
        <v>#N/A</v>
      </c>
      <c r="V96" t="e" cm="1">
        <f t="array" ref="V96">INDEX($B$25:$B$325, R96+2, 1)</f>
        <v>#N/A</v>
      </c>
      <c r="X96">
        <f t="shared" si="31"/>
        <v>0</v>
      </c>
      <c r="Y96">
        <v>0</v>
      </c>
      <c r="Z96">
        <f t="shared" si="41"/>
        <v>0</v>
      </c>
      <c r="AA96">
        <v>0</v>
      </c>
      <c r="AB96">
        <f t="shared" si="42"/>
        <v>0</v>
      </c>
      <c r="AC96">
        <v>0</v>
      </c>
      <c r="AD96">
        <f t="shared" si="43"/>
        <v>0</v>
      </c>
      <c r="AE96">
        <v>0</v>
      </c>
      <c r="AF96">
        <f t="shared" si="44"/>
        <v>0</v>
      </c>
      <c r="AG96">
        <v>0</v>
      </c>
      <c r="AH96">
        <f t="shared" si="45"/>
        <v>0</v>
      </c>
      <c r="AI96">
        <v>0</v>
      </c>
      <c r="AJ96">
        <f t="shared" si="46"/>
        <v>0</v>
      </c>
      <c r="AK96">
        <v>0</v>
      </c>
      <c r="AL96">
        <f t="shared" si="47"/>
        <v>0</v>
      </c>
      <c r="AM96">
        <v>0</v>
      </c>
      <c r="AN96">
        <f t="shared" si="48"/>
        <v>0</v>
      </c>
      <c r="AO96">
        <v>0</v>
      </c>
      <c r="AP96">
        <f t="shared" si="49"/>
        <v>0</v>
      </c>
      <c r="AQ96">
        <v>0</v>
      </c>
      <c r="BE96" s="6"/>
      <c r="BX96">
        <v>0</v>
      </c>
      <c r="BY96">
        <v>0</v>
      </c>
      <c r="CA96">
        <v>71</v>
      </c>
      <c r="CB96">
        <f t="shared" si="50"/>
        <v>0</v>
      </c>
    </row>
    <row r="97" spans="8:80" x14ac:dyDescent="0.3">
      <c r="H97">
        <f t="shared" si="32"/>
        <v>0</v>
      </c>
      <c r="I97">
        <v>73</v>
      </c>
      <c r="J97">
        <f t="shared" si="33"/>
        <v>0</v>
      </c>
      <c r="K97">
        <f t="shared" si="34"/>
        <v>0</v>
      </c>
      <c r="L97">
        <f t="shared" si="35"/>
        <v>0</v>
      </c>
      <c r="M97">
        <f t="shared" si="36"/>
        <v>0</v>
      </c>
      <c r="N97">
        <f t="shared" si="37"/>
        <v>0</v>
      </c>
      <c r="P97">
        <f t="shared" si="38"/>
        <v>0</v>
      </c>
      <c r="R97" t="e">
        <f t="shared" si="39"/>
        <v>#N/A</v>
      </c>
      <c r="S97" t="e" cm="1">
        <f t="array" ref="S97">INDEX($A$25:$A$325, R97, 1)</f>
        <v>#N/A</v>
      </c>
      <c r="T97" t="e">
        <f t="shared" si="40"/>
        <v>#N/A</v>
      </c>
      <c r="U97" t="e" cm="1">
        <f t="array" ref="U97">INDEX($F$25:$F$325, R97, 1)</f>
        <v>#N/A</v>
      </c>
      <c r="V97" t="e" cm="1">
        <f t="array" ref="V97">INDEX($B$25:$B$325, R97+2, 1)</f>
        <v>#N/A</v>
      </c>
      <c r="X97">
        <f t="shared" si="31"/>
        <v>0</v>
      </c>
      <c r="Y97">
        <v>0</v>
      </c>
      <c r="Z97">
        <f t="shared" si="41"/>
        <v>0</v>
      </c>
      <c r="AA97">
        <v>0</v>
      </c>
      <c r="AB97">
        <f t="shared" si="42"/>
        <v>0</v>
      </c>
      <c r="AC97">
        <v>0</v>
      </c>
      <c r="AD97">
        <f t="shared" si="43"/>
        <v>0</v>
      </c>
      <c r="AE97">
        <v>0</v>
      </c>
      <c r="AF97">
        <f t="shared" si="44"/>
        <v>0</v>
      </c>
      <c r="AG97">
        <v>0</v>
      </c>
      <c r="AH97">
        <f t="shared" si="45"/>
        <v>0</v>
      </c>
      <c r="AI97">
        <v>0</v>
      </c>
      <c r="AJ97">
        <f t="shared" si="46"/>
        <v>0</v>
      </c>
      <c r="AK97">
        <v>0</v>
      </c>
      <c r="AL97">
        <f t="shared" si="47"/>
        <v>0</v>
      </c>
      <c r="AM97">
        <v>0</v>
      </c>
      <c r="AN97">
        <f t="shared" si="48"/>
        <v>0</v>
      </c>
      <c r="AO97">
        <v>0</v>
      </c>
      <c r="AP97">
        <f t="shared" si="49"/>
        <v>0</v>
      </c>
      <c r="AQ97">
        <v>0</v>
      </c>
      <c r="BE97" s="6"/>
      <c r="BX97">
        <v>0</v>
      </c>
      <c r="BY97">
        <v>0</v>
      </c>
      <c r="CA97">
        <v>72</v>
      </c>
      <c r="CB97">
        <f t="shared" si="50"/>
        <v>0</v>
      </c>
    </row>
    <row r="98" spans="8:80" x14ac:dyDescent="0.3">
      <c r="H98">
        <f t="shared" si="32"/>
        <v>0</v>
      </c>
      <c r="I98">
        <v>74</v>
      </c>
      <c r="J98">
        <f t="shared" si="33"/>
        <v>0</v>
      </c>
      <c r="K98">
        <f t="shared" si="34"/>
        <v>0</v>
      </c>
      <c r="L98">
        <f t="shared" si="35"/>
        <v>0</v>
      </c>
      <c r="M98">
        <f t="shared" si="36"/>
        <v>0</v>
      </c>
      <c r="N98">
        <f t="shared" si="37"/>
        <v>0</v>
      </c>
      <c r="P98">
        <f t="shared" si="38"/>
        <v>0</v>
      </c>
      <c r="R98" t="e">
        <f t="shared" si="39"/>
        <v>#N/A</v>
      </c>
      <c r="S98" t="e" cm="1">
        <f t="array" ref="S98">INDEX($A$25:$A$325, R98, 1)</f>
        <v>#N/A</v>
      </c>
      <c r="T98" t="e">
        <f t="shared" si="40"/>
        <v>#N/A</v>
      </c>
      <c r="U98" t="e" cm="1">
        <f t="array" ref="U98">INDEX($F$25:$F$325, R98, 1)</f>
        <v>#N/A</v>
      </c>
      <c r="V98" t="e" cm="1">
        <f t="array" ref="V98">INDEX($B$25:$B$325, R98+2, 1)</f>
        <v>#N/A</v>
      </c>
      <c r="X98">
        <f t="shared" si="31"/>
        <v>0</v>
      </c>
      <c r="Y98">
        <v>0</v>
      </c>
      <c r="Z98">
        <f t="shared" si="41"/>
        <v>0</v>
      </c>
      <c r="AA98">
        <v>0</v>
      </c>
      <c r="AB98">
        <f t="shared" si="42"/>
        <v>0</v>
      </c>
      <c r="AC98">
        <v>0</v>
      </c>
      <c r="AD98">
        <f t="shared" si="43"/>
        <v>0</v>
      </c>
      <c r="AE98">
        <v>0</v>
      </c>
      <c r="AF98">
        <f t="shared" si="44"/>
        <v>0</v>
      </c>
      <c r="AG98">
        <v>0</v>
      </c>
      <c r="AH98">
        <f t="shared" si="45"/>
        <v>0</v>
      </c>
      <c r="AI98">
        <v>0</v>
      </c>
      <c r="AJ98">
        <f t="shared" si="46"/>
        <v>0</v>
      </c>
      <c r="AK98">
        <v>0</v>
      </c>
      <c r="AL98">
        <f t="shared" si="47"/>
        <v>0</v>
      </c>
      <c r="AM98">
        <v>0</v>
      </c>
      <c r="AN98">
        <f t="shared" si="48"/>
        <v>0</v>
      </c>
      <c r="AO98">
        <v>0</v>
      </c>
      <c r="AP98">
        <f t="shared" si="49"/>
        <v>0</v>
      </c>
      <c r="AQ98">
        <v>0</v>
      </c>
      <c r="BE98" s="6"/>
      <c r="BX98">
        <v>0</v>
      </c>
      <c r="BY98">
        <v>0</v>
      </c>
      <c r="CA98">
        <v>73</v>
      </c>
      <c r="CB98">
        <f t="shared" si="50"/>
        <v>0</v>
      </c>
    </row>
    <row r="99" spans="8:80" x14ac:dyDescent="0.3">
      <c r="H99">
        <f t="shared" si="32"/>
        <v>0</v>
      </c>
      <c r="I99">
        <v>75</v>
      </c>
      <c r="J99">
        <f t="shared" si="33"/>
        <v>0</v>
      </c>
      <c r="K99">
        <f t="shared" si="34"/>
        <v>0</v>
      </c>
      <c r="L99">
        <f t="shared" si="35"/>
        <v>0</v>
      </c>
      <c r="M99">
        <f t="shared" si="36"/>
        <v>0</v>
      </c>
      <c r="N99">
        <f t="shared" si="37"/>
        <v>0</v>
      </c>
      <c r="P99">
        <f t="shared" si="38"/>
        <v>0</v>
      </c>
      <c r="R99" t="e">
        <f t="shared" si="39"/>
        <v>#N/A</v>
      </c>
      <c r="S99" t="e" cm="1">
        <f t="array" ref="S99">INDEX($A$25:$A$325, R99, 1)</f>
        <v>#N/A</v>
      </c>
      <c r="T99" t="e">
        <f t="shared" si="40"/>
        <v>#N/A</v>
      </c>
      <c r="U99" t="e" cm="1">
        <f t="array" ref="U99">INDEX($F$25:$F$325, R99, 1)</f>
        <v>#N/A</v>
      </c>
      <c r="V99" t="e" cm="1">
        <f t="array" ref="V99">INDEX($B$25:$B$325, R99+2, 1)</f>
        <v>#N/A</v>
      </c>
      <c r="X99">
        <f t="shared" si="31"/>
        <v>0</v>
      </c>
      <c r="Y99">
        <v>0</v>
      </c>
      <c r="Z99">
        <f t="shared" si="41"/>
        <v>0</v>
      </c>
      <c r="AA99">
        <v>0</v>
      </c>
      <c r="AB99">
        <f t="shared" si="42"/>
        <v>0</v>
      </c>
      <c r="AC99">
        <v>0</v>
      </c>
      <c r="AD99">
        <f t="shared" si="43"/>
        <v>0</v>
      </c>
      <c r="AE99">
        <v>0</v>
      </c>
      <c r="AF99">
        <f t="shared" si="44"/>
        <v>0</v>
      </c>
      <c r="AG99">
        <v>0</v>
      </c>
      <c r="AH99">
        <f t="shared" si="45"/>
        <v>0</v>
      </c>
      <c r="AI99">
        <v>0</v>
      </c>
      <c r="AJ99">
        <f t="shared" si="46"/>
        <v>0</v>
      </c>
      <c r="AK99">
        <v>0</v>
      </c>
      <c r="AL99">
        <f t="shared" si="47"/>
        <v>0</v>
      </c>
      <c r="AM99">
        <v>0</v>
      </c>
      <c r="AN99">
        <f t="shared" si="48"/>
        <v>0</v>
      </c>
      <c r="AO99">
        <v>0</v>
      </c>
      <c r="AP99">
        <f t="shared" si="49"/>
        <v>0</v>
      </c>
      <c r="AQ99">
        <v>0</v>
      </c>
      <c r="BE99" s="6"/>
      <c r="BX99">
        <v>0</v>
      </c>
      <c r="BY99">
        <v>0</v>
      </c>
      <c r="CA99">
        <v>74</v>
      </c>
      <c r="CB99">
        <f t="shared" si="50"/>
        <v>0</v>
      </c>
    </row>
    <row r="100" spans="8:80" x14ac:dyDescent="0.3">
      <c r="H100">
        <f t="shared" si="32"/>
        <v>0</v>
      </c>
      <c r="I100">
        <v>76</v>
      </c>
      <c r="J100">
        <f t="shared" si="33"/>
        <v>0</v>
      </c>
      <c r="K100">
        <f t="shared" si="34"/>
        <v>0</v>
      </c>
      <c r="L100">
        <f t="shared" si="35"/>
        <v>0</v>
      </c>
      <c r="M100">
        <f t="shared" si="36"/>
        <v>0</v>
      </c>
      <c r="N100">
        <f t="shared" si="37"/>
        <v>0</v>
      </c>
      <c r="P100">
        <f t="shared" si="38"/>
        <v>0</v>
      </c>
      <c r="R100" t="e">
        <f t="shared" si="39"/>
        <v>#N/A</v>
      </c>
      <c r="S100" t="e" cm="1">
        <f t="array" ref="S100">INDEX($A$25:$A$325, R100, 1)</f>
        <v>#N/A</v>
      </c>
      <c r="T100" t="e">
        <f t="shared" si="40"/>
        <v>#N/A</v>
      </c>
      <c r="U100" t="e" cm="1">
        <f t="array" ref="U100">INDEX($F$25:$F$325, R100, 1)</f>
        <v>#N/A</v>
      </c>
      <c r="V100" t="e" cm="1">
        <f t="array" ref="V100">INDEX($B$25:$B$325, R100+2, 1)</f>
        <v>#N/A</v>
      </c>
      <c r="X100">
        <f t="shared" si="31"/>
        <v>0</v>
      </c>
      <c r="Y100">
        <v>0</v>
      </c>
      <c r="Z100">
        <f t="shared" si="41"/>
        <v>0</v>
      </c>
      <c r="AA100">
        <v>0</v>
      </c>
      <c r="AB100">
        <f t="shared" si="42"/>
        <v>0</v>
      </c>
      <c r="AC100">
        <v>0</v>
      </c>
      <c r="AD100">
        <f t="shared" si="43"/>
        <v>0</v>
      </c>
      <c r="AE100">
        <v>0</v>
      </c>
      <c r="AF100">
        <f t="shared" si="44"/>
        <v>0</v>
      </c>
      <c r="AG100">
        <v>0</v>
      </c>
      <c r="AH100">
        <f t="shared" si="45"/>
        <v>0</v>
      </c>
      <c r="AI100">
        <v>0</v>
      </c>
      <c r="AJ100">
        <f t="shared" si="46"/>
        <v>0</v>
      </c>
      <c r="AK100">
        <v>0</v>
      </c>
      <c r="AL100">
        <f t="shared" si="47"/>
        <v>0</v>
      </c>
      <c r="AM100">
        <v>0</v>
      </c>
      <c r="AN100">
        <f t="shared" si="48"/>
        <v>0</v>
      </c>
      <c r="AO100">
        <v>0</v>
      </c>
      <c r="AP100">
        <f t="shared" si="49"/>
        <v>0</v>
      </c>
      <c r="AQ100">
        <v>0</v>
      </c>
      <c r="BE100" s="6"/>
      <c r="BX100">
        <v>0</v>
      </c>
      <c r="BY100">
        <v>0</v>
      </c>
      <c r="CA100">
        <v>75</v>
      </c>
      <c r="CB100">
        <f t="shared" si="50"/>
        <v>0</v>
      </c>
    </row>
    <row r="101" spans="8:80" x14ac:dyDescent="0.3">
      <c r="H101">
        <f t="shared" si="32"/>
        <v>0</v>
      </c>
      <c r="I101">
        <v>77</v>
      </c>
      <c r="J101">
        <f t="shared" si="33"/>
        <v>0</v>
      </c>
      <c r="K101">
        <f t="shared" si="34"/>
        <v>0</v>
      </c>
      <c r="L101">
        <f t="shared" si="35"/>
        <v>0</v>
      </c>
      <c r="M101">
        <f t="shared" si="36"/>
        <v>0</v>
      </c>
      <c r="N101">
        <f t="shared" si="37"/>
        <v>0</v>
      </c>
      <c r="P101">
        <f t="shared" si="38"/>
        <v>0</v>
      </c>
      <c r="R101" t="e">
        <f t="shared" si="39"/>
        <v>#N/A</v>
      </c>
      <c r="S101" t="e" cm="1">
        <f t="array" ref="S101">INDEX($A$25:$A$325, R101, 1)</f>
        <v>#N/A</v>
      </c>
      <c r="T101" t="e">
        <f t="shared" si="40"/>
        <v>#N/A</v>
      </c>
      <c r="U101" t="e" cm="1">
        <f t="array" ref="U101">INDEX($F$25:$F$325, R101, 1)</f>
        <v>#N/A</v>
      </c>
      <c r="V101" t="e" cm="1">
        <f t="array" ref="V101">INDEX($B$25:$B$325, R101+2, 1)</f>
        <v>#N/A</v>
      </c>
      <c r="X101">
        <f t="shared" si="31"/>
        <v>0</v>
      </c>
      <c r="Y101">
        <v>0</v>
      </c>
      <c r="Z101">
        <f t="shared" si="41"/>
        <v>0</v>
      </c>
      <c r="AA101">
        <v>0</v>
      </c>
      <c r="AB101">
        <f t="shared" si="42"/>
        <v>0</v>
      </c>
      <c r="AC101">
        <v>0</v>
      </c>
      <c r="AD101">
        <f t="shared" si="43"/>
        <v>0</v>
      </c>
      <c r="AE101">
        <v>0</v>
      </c>
      <c r="AF101">
        <f t="shared" si="44"/>
        <v>0</v>
      </c>
      <c r="AG101">
        <v>0</v>
      </c>
      <c r="AH101">
        <f t="shared" si="45"/>
        <v>0</v>
      </c>
      <c r="AI101">
        <v>0</v>
      </c>
      <c r="AJ101">
        <f t="shared" si="46"/>
        <v>0</v>
      </c>
      <c r="AK101">
        <v>0</v>
      </c>
      <c r="AL101">
        <f t="shared" si="47"/>
        <v>0</v>
      </c>
      <c r="AM101">
        <v>0</v>
      </c>
      <c r="AN101">
        <f t="shared" si="48"/>
        <v>0</v>
      </c>
      <c r="AO101">
        <v>0</v>
      </c>
      <c r="AP101">
        <f t="shared" si="49"/>
        <v>0</v>
      </c>
      <c r="AQ101">
        <v>0</v>
      </c>
      <c r="BE101" s="6"/>
      <c r="BX101">
        <v>0</v>
      </c>
      <c r="BY101">
        <v>0</v>
      </c>
      <c r="CA101">
        <v>76</v>
      </c>
      <c r="CB101">
        <f t="shared" si="50"/>
        <v>0</v>
      </c>
    </row>
    <row r="102" spans="8:80" x14ac:dyDescent="0.3">
      <c r="H102">
        <f t="shared" si="32"/>
        <v>0</v>
      </c>
      <c r="I102">
        <v>78</v>
      </c>
      <c r="J102">
        <f t="shared" si="33"/>
        <v>0</v>
      </c>
      <c r="K102">
        <f t="shared" si="34"/>
        <v>0</v>
      </c>
      <c r="L102">
        <f t="shared" si="35"/>
        <v>0</v>
      </c>
      <c r="M102">
        <f t="shared" si="36"/>
        <v>0</v>
      </c>
      <c r="N102">
        <f t="shared" si="37"/>
        <v>0</v>
      </c>
      <c r="P102">
        <f t="shared" si="38"/>
        <v>0</v>
      </c>
      <c r="R102" t="e">
        <f t="shared" si="39"/>
        <v>#N/A</v>
      </c>
      <c r="S102" t="e" cm="1">
        <f t="array" ref="S102">INDEX($A$25:$A$325, R102, 1)</f>
        <v>#N/A</v>
      </c>
      <c r="T102" t="e">
        <f t="shared" si="40"/>
        <v>#N/A</v>
      </c>
      <c r="U102" t="e" cm="1">
        <f t="array" ref="U102">INDEX($F$25:$F$325, R102, 1)</f>
        <v>#N/A</v>
      </c>
      <c r="V102" t="e" cm="1">
        <f t="array" ref="V102">INDEX($B$25:$B$325, R102+2, 1)</f>
        <v>#N/A</v>
      </c>
      <c r="X102">
        <f t="shared" si="31"/>
        <v>0</v>
      </c>
      <c r="Y102">
        <v>0</v>
      </c>
      <c r="Z102">
        <f t="shared" si="41"/>
        <v>0</v>
      </c>
      <c r="AA102">
        <v>0</v>
      </c>
      <c r="AB102">
        <f t="shared" si="42"/>
        <v>0</v>
      </c>
      <c r="AC102">
        <v>0</v>
      </c>
      <c r="AD102">
        <f t="shared" si="43"/>
        <v>0</v>
      </c>
      <c r="AE102">
        <v>0</v>
      </c>
      <c r="AF102">
        <f t="shared" si="44"/>
        <v>0</v>
      </c>
      <c r="AG102">
        <v>0</v>
      </c>
      <c r="AH102">
        <f t="shared" si="45"/>
        <v>0</v>
      </c>
      <c r="AI102">
        <v>0</v>
      </c>
      <c r="AJ102">
        <f t="shared" si="46"/>
        <v>0</v>
      </c>
      <c r="AK102">
        <v>0</v>
      </c>
      <c r="AL102">
        <f t="shared" si="47"/>
        <v>0</v>
      </c>
      <c r="AM102">
        <v>0</v>
      </c>
      <c r="AN102">
        <f t="shared" si="48"/>
        <v>0</v>
      </c>
      <c r="AO102">
        <v>0</v>
      </c>
      <c r="AP102">
        <f t="shared" si="49"/>
        <v>0</v>
      </c>
      <c r="AQ102">
        <v>0</v>
      </c>
      <c r="BE102" s="6"/>
      <c r="BX102">
        <v>0</v>
      </c>
      <c r="BY102">
        <v>0</v>
      </c>
      <c r="CA102">
        <v>77</v>
      </c>
      <c r="CB102">
        <f t="shared" si="50"/>
        <v>0</v>
      </c>
    </row>
    <row r="103" spans="8:80" x14ac:dyDescent="0.3">
      <c r="H103">
        <f t="shared" si="32"/>
        <v>0</v>
      </c>
      <c r="I103">
        <v>79</v>
      </c>
      <c r="J103">
        <f t="shared" si="33"/>
        <v>0</v>
      </c>
      <c r="K103">
        <f t="shared" si="34"/>
        <v>0</v>
      </c>
      <c r="L103">
        <f t="shared" si="35"/>
        <v>0</v>
      </c>
      <c r="M103">
        <f t="shared" si="36"/>
        <v>0</v>
      </c>
      <c r="N103">
        <f t="shared" si="37"/>
        <v>0</v>
      </c>
      <c r="P103">
        <f t="shared" si="38"/>
        <v>0</v>
      </c>
      <c r="R103" t="e">
        <f t="shared" si="39"/>
        <v>#N/A</v>
      </c>
      <c r="S103" t="e" cm="1">
        <f t="array" ref="S103">INDEX($A$25:$A$325, R103, 1)</f>
        <v>#N/A</v>
      </c>
      <c r="T103" t="e">
        <f t="shared" si="40"/>
        <v>#N/A</v>
      </c>
      <c r="U103" t="e" cm="1">
        <f t="array" ref="U103">INDEX($F$25:$F$325, R103, 1)</f>
        <v>#N/A</v>
      </c>
      <c r="V103" t="e" cm="1">
        <f t="array" ref="V103">INDEX($B$25:$B$325, R103+2, 1)</f>
        <v>#N/A</v>
      </c>
      <c r="X103">
        <f t="shared" si="31"/>
        <v>0</v>
      </c>
      <c r="Y103">
        <v>0</v>
      </c>
      <c r="Z103">
        <f t="shared" si="41"/>
        <v>0</v>
      </c>
      <c r="AA103">
        <v>0</v>
      </c>
      <c r="AB103">
        <f t="shared" si="42"/>
        <v>0</v>
      </c>
      <c r="AC103">
        <v>0</v>
      </c>
      <c r="AD103">
        <f t="shared" si="43"/>
        <v>0</v>
      </c>
      <c r="AE103">
        <v>0</v>
      </c>
      <c r="AF103">
        <f t="shared" si="44"/>
        <v>0</v>
      </c>
      <c r="AG103">
        <v>0</v>
      </c>
      <c r="AH103">
        <f t="shared" si="45"/>
        <v>0</v>
      </c>
      <c r="AI103">
        <v>0</v>
      </c>
      <c r="AJ103">
        <f t="shared" si="46"/>
        <v>0</v>
      </c>
      <c r="AK103">
        <v>0</v>
      </c>
      <c r="AL103">
        <f t="shared" si="47"/>
        <v>0</v>
      </c>
      <c r="AM103">
        <v>0</v>
      </c>
      <c r="AN103">
        <f t="shared" si="48"/>
        <v>0</v>
      </c>
      <c r="AO103">
        <v>0</v>
      </c>
      <c r="AP103">
        <f t="shared" si="49"/>
        <v>0</v>
      </c>
      <c r="AQ103">
        <v>0</v>
      </c>
      <c r="BE103" s="6"/>
      <c r="BX103">
        <v>0</v>
      </c>
      <c r="BY103">
        <v>0</v>
      </c>
      <c r="CA103">
        <v>78</v>
      </c>
      <c r="CB103">
        <f t="shared" si="50"/>
        <v>0</v>
      </c>
    </row>
    <row r="104" spans="8:80" x14ac:dyDescent="0.3">
      <c r="H104">
        <f t="shared" si="32"/>
        <v>0</v>
      </c>
      <c r="I104">
        <v>80</v>
      </c>
      <c r="J104">
        <f t="shared" si="33"/>
        <v>0</v>
      </c>
      <c r="K104">
        <f t="shared" si="34"/>
        <v>0</v>
      </c>
      <c r="L104">
        <f t="shared" si="35"/>
        <v>0</v>
      </c>
      <c r="M104">
        <f t="shared" si="36"/>
        <v>0</v>
      </c>
      <c r="N104">
        <f t="shared" si="37"/>
        <v>0</v>
      </c>
      <c r="P104">
        <f t="shared" si="38"/>
        <v>0</v>
      </c>
      <c r="R104" t="e">
        <f t="shared" si="39"/>
        <v>#N/A</v>
      </c>
      <c r="S104" t="e" cm="1">
        <f t="array" ref="S104">INDEX($A$25:$A$325, R104, 1)</f>
        <v>#N/A</v>
      </c>
      <c r="T104" t="e">
        <f t="shared" si="40"/>
        <v>#N/A</v>
      </c>
      <c r="U104" t="e" cm="1">
        <f t="array" ref="U104">INDEX($F$25:$F$325, R104, 1)</f>
        <v>#N/A</v>
      </c>
      <c r="V104" t="e" cm="1">
        <f t="array" ref="V104">INDEX($B$25:$B$325, R104+2, 1)</f>
        <v>#N/A</v>
      </c>
      <c r="X104">
        <f t="shared" si="31"/>
        <v>0</v>
      </c>
      <c r="Y104">
        <v>0</v>
      </c>
      <c r="Z104">
        <f t="shared" si="41"/>
        <v>0</v>
      </c>
      <c r="AA104">
        <v>0</v>
      </c>
      <c r="AB104">
        <f t="shared" si="42"/>
        <v>0</v>
      </c>
      <c r="AC104">
        <v>0</v>
      </c>
      <c r="AD104">
        <f t="shared" si="43"/>
        <v>0</v>
      </c>
      <c r="AE104">
        <v>0</v>
      </c>
      <c r="AF104">
        <f t="shared" si="44"/>
        <v>0</v>
      </c>
      <c r="AG104">
        <v>0</v>
      </c>
      <c r="AH104">
        <f t="shared" si="45"/>
        <v>0</v>
      </c>
      <c r="AI104">
        <v>0</v>
      </c>
      <c r="AJ104">
        <f t="shared" si="46"/>
        <v>0</v>
      </c>
      <c r="AK104">
        <v>0</v>
      </c>
      <c r="AL104">
        <f t="shared" si="47"/>
        <v>0</v>
      </c>
      <c r="AM104">
        <v>0</v>
      </c>
      <c r="AN104">
        <f t="shared" si="48"/>
        <v>0</v>
      </c>
      <c r="AO104">
        <v>0</v>
      </c>
      <c r="AP104">
        <f t="shared" si="49"/>
        <v>0</v>
      </c>
      <c r="AQ104">
        <v>0</v>
      </c>
      <c r="BE104" s="6"/>
      <c r="BX104">
        <v>0</v>
      </c>
      <c r="BY104">
        <v>0</v>
      </c>
      <c r="CA104">
        <v>79</v>
      </c>
      <c r="CB104">
        <f t="shared" si="50"/>
        <v>0</v>
      </c>
    </row>
    <row r="105" spans="8:80" x14ac:dyDescent="0.3">
      <c r="H105">
        <f t="shared" si="32"/>
        <v>0</v>
      </c>
      <c r="I105">
        <v>81</v>
      </c>
      <c r="J105">
        <f t="shared" si="33"/>
        <v>0</v>
      </c>
      <c r="K105">
        <f t="shared" si="34"/>
        <v>0</v>
      </c>
      <c r="L105">
        <f t="shared" si="35"/>
        <v>0</v>
      </c>
      <c r="M105">
        <f t="shared" si="36"/>
        <v>0</v>
      </c>
      <c r="N105">
        <f t="shared" si="37"/>
        <v>0</v>
      </c>
      <c r="P105">
        <f t="shared" si="38"/>
        <v>0</v>
      </c>
      <c r="R105" t="e">
        <f t="shared" si="39"/>
        <v>#N/A</v>
      </c>
      <c r="S105" t="e" cm="1">
        <f t="array" ref="S105">INDEX($A$25:$A$325, R105, 1)</f>
        <v>#N/A</v>
      </c>
      <c r="T105" t="e">
        <f t="shared" si="40"/>
        <v>#N/A</v>
      </c>
      <c r="U105" t="e" cm="1">
        <f t="array" ref="U105">INDEX($F$25:$F$325, R105, 1)</f>
        <v>#N/A</v>
      </c>
      <c r="V105" t="e" cm="1">
        <f t="array" ref="V105">INDEX($B$25:$B$325, R105+2, 1)</f>
        <v>#N/A</v>
      </c>
      <c r="X105">
        <f t="shared" si="31"/>
        <v>0</v>
      </c>
      <c r="Y105">
        <v>0</v>
      </c>
      <c r="Z105">
        <f t="shared" si="41"/>
        <v>0</v>
      </c>
      <c r="AA105">
        <v>0</v>
      </c>
      <c r="AB105">
        <f t="shared" si="42"/>
        <v>0</v>
      </c>
      <c r="AC105">
        <v>0</v>
      </c>
      <c r="AD105">
        <f t="shared" si="43"/>
        <v>0</v>
      </c>
      <c r="AE105">
        <v>0</v>
      </c>
      <c r="AF105">
        <f t="shared" si="44"/>
        <v>0</v>
      </c>
      <c r="AG105">
        <v>0</v>
      </c>
      <c r="AH105">
        <f t="shared" si="45"/>
        <v>0</v>
      </c>
      <c r="AI105">
        <v>0</v>
      </c>
      <c r="AJ105">
        <f t="shared" si="46"/>
        <v>0</v>
      </c>
      <c r="AK105">
        <v>0</v>
      </c>
      <c r="AL105">
        <f t="shared" si="47"/>
        <v>0</v>
      </c>
      <c r="AM105">
        <v>0</v>
      </c>
      <c r="AN105">
        <f t="shared" si="48"/>
        <v>0</v>
      </c>
      <c r="AO105">
        <v>0</v>
      </c>
      <c r="AP105">
        <f t="shared" si="49"/>
        <v>0</v>
      </c>
      <c r="AQ105">
        <v>0</v>
      </c>
      <c r="BE105" s="6"/>
      <c r="BX105">
        <v>0</v>
      </c>
      <c r="BY105">
        <v>0</v>
      </c>
      <c r="CA105">
        <v>80</v>
      </c>
      <c r="CB105">
        <f t="shared" si="50"/>
        <v>0</v>
      </c>
    </row>
    <row r="106" spans="8:80" x14ac:dyDescent="0.3">
      <c r="H106">
        <f t="shared" si="32"/>
        <v>0</v>
      </c>
      <c r="I106">
        <v>82</v>
      </c>
      <c r="J106">
        <f t="shared" si="33"/>
        <v>0</v>
      </c>
      <c r="K106">
        <f t="shared" si="34"/>
        <v>0</v>
      </c>
      <c r="L106">
        <f t="shared" si="35"/>
        <v>0</v>
      </c>
      <c r="M106">
        <f t="shared" si="36"/>
        <v>0</v>
      </c>
      <c r="N106">
        <f t="shared" si="37"/>
        <v>0</v>
      </c>
      <c r="P106">
        <f t="shared" si="38"/>
        <v>0</v>
      </c>
      <c r="R106" t="e">
        <f t="shared" si="39"/>
        <v>#N/A</v>
      </c>
      <c r="S106" t="e" cm="1">
        <f t="array" ref="S106">INDEX($A$25:$A$325, R106, 1)</f>
        <v>#N/A</v>
      </c>
      <c r="T106" t="e">
        <f t="shared" si="40"/>
        <v>#N/A</v>
      </c>
      <c r="U106" t="e" cm="1">
        <f t="array" ref="U106">INDEX($F$25:$F$325, R106, 1)</f>
        <v>#N/A</v>
      </c>
      <c r="V106" t="e" cm="1">
        <f t="array" ref="V106">INDEX($B$25:$B$325, R106+2, 1)</f>
        <v>#N/A</v>
      </c>
      <c r="X106">
        <f t="shared" si="31"/>
        <v>0</v>
      </c>
      <c r="Y106">
        <v>0</v>
      </c>
      <c r="Z106">
        <f t="shared" si="41"/>
        <v>0</v>
      </c>
      <c r="AA106">
        <v>0</v>
      </c>
      <c r="AB106">
        <f t="shared" si="42"/>
        <v>0</v>
      </c>
      <c r="AC106">
        <v>0</v>
      </c>
      <c r="AD106">
        <f t="shared" si="43"/>
        <v>0</v>
      </c>
      <c r="AE106">
        <v>0</v>
      </c>
      <c r="AF106">
        <f t="shared" si="44"/>
        <v>0</v>
      </c>
      <c r="AG106">
        <v>0</v>
      </c>
      <c r="AH106">
        <f t="shared" si="45"/>
        <v>0</v>
      </c>
      <c r="AI106">
        <v>0</v>
      </c>
      <c r="AJ106">
        <f t="shared" si="46"/>
        <v>0</v>
      </c>
      <c r="AK106">
        <v>0</v>
      </c>
      <c r="AL106">
        <f t="shared" si="47"/>
        <v>0</v>
      </c>
      <c r="AM106">
        <v>0</v>
      </c>
      <c r="AN106">
        <f t="shared" si="48"/>
        <v>0</v>
      </c>
      <c r="AO106">
        <v>0</v>
      </c>
      <c r="AP106">
        <f t="shared" si="49"/>
        <v>0</v>
      </c>
      <c r="AQ106">
        <v>0</v>
      </c>
      <c r="BE106" s="6"/>
      <c r="BX106">
        <v>0</v>
      </c>
      <c r="BY106">
        <v>0</v>
      </c>
      <c r="CA106">
        <v>81</v>
      </c>
      <c r="CB106">
        <f t="shared" si="50"/>
        <v>0</v>
      </c>
    </row>
    <row r="107" spans="8:80" x14ac:dyDescent="0.3">
      <c r="H107">
        <f t="shared" si="32"/>
        <v>0</v>
      </c>
      <c r="I107">
        <v>83</v>
      </c>
      <c r="J107">
        <f t="shared" si="33"/>
        <v>0</v>
      </c>
      <c r="K107">
        <f t="shared" si="34"/>
        <v>0</v>
      </c>
      <c r="L107">
        <f t="shared" si="35"/>
        <v>0</v>
      </c>
      <c r="M107">
        <f t="shared" si="36"/>
        <v>0</v>
      </c>
      <c r="N107">
        <f t="shared" si="37"/>
        <v>0</v>
      </c>
      <c r="P107">
        <f t="shared" si="38"/>
        <v>0</v>
      </c>
      <c r="R107" t="e">
        <f t="shared" si="39"/>
        <v>#N/A</v>
      </c>
      <c r="S107" t="e" cm="1">
        <f t="array" ref="S107">INDEX($A$25:$A$325, R107, 1)</f>
        <v>#N/A</v>
      </c>
      <c r="T107" t="e">
        <f t="shared" si="40"/>
        <v>#N/A</v>
      </c>
      <c r="U107" t="e" cm="1">
        <f t="array" ref="U107">INDEX($F$25:$F$325, R107, 1)</f>
        <v>#N/A</v>
      </c>
      <c r="V107" t="e" cm="1">
        <f t="array" ref="V107">INDEX($B$25:$B$325, R107+2, 1)</f>
        <v>#N/A</v>
      </c>
      <c r="X107">
        <f t="shared" si="31"/>
        <v>0</v>
      </c>
      <c r="Y107">
        <v>0</v>
      </c>
      <c r="Z107">
        <f t="shared" si="41"/>
        <v>0</v>
      </c>
      <c r="AA107">
        <v>0</v>
      </c>
      <c r="AB107">
        <f t="shared" si="42"/>
        <v>0</v>
      </c>
      <c r="AC107">
        <v>0</v>
      </c>
      <c r="AD107">
        <f t="shared" si="43"/>
        <v>0</v>
      </c>
      <c r="AE107">
        <v>0</v>
      </c>
      <c r="AF107">
        <f t="shared" si="44"/>
        <v>0</v>
      </c>
      <c r="AG107">
        <v>0</v>
      </c>
      <c r="AH107">
        <f t="shared" si="45"/>
        <v>0</v>
      </c>
      <c r="AI107">
        <v>0</v>
      </c>
      <c r="AJ107">
        <f t="shared" si="46"/>
        <v>0</v>
      </c>
      <c r="AK107">
        <v>0</v>
      </c>
      <c r="AL107">
        <f t="shared" si="47"/>
        <v>0</v>
      </c>
      <c r="AM107">
        <v>0</v>
      </c>
      <c r="AN107">
        <f t="shared" si="48"/>
        <v>0</v>
      </c>
      <c r="AO107">
        <v>0</v>
      </c>
      <c r="AP107">
        <f t="shared" si="49"/>
        <v>0</v>
      </c>
      <c r="AQ107">
        <v>0</v>
      </c>
      <c r="BE107" s="6"/>
      <c r="BX107">
        <v>0</v>
      </c>
      <c r="BY107">
        <v>0</v>
      </c>
      <c r="CA107">
        <v>82</v>
      </c>
      <c r="CB107">
        <f t="shared" si="50"/>
        <v>0</v>
      </c>
    </row>
    <row r="108" spans="8:80" x14ac:dyDescent="0.3">
      <c r="H108">
        <f t="shared" si="32"/>
        <v>0</v>
      </c>
      <c r="I108">
        <v>84</v>
      </c>
      <c r="J108">
        <f t="shared" si="33"/>
        <v>0</v>
      </c>
      <c r="K108">
        <f t="shared" si="34"/>
        <v>0</v>
      </c>
      <c r="L108">
        <f t="shared" si="35"/>
        <v>0</v>
      </c>
      <c r="M108">
        <f t="shared" si="36"/>
        <v>0</v>
      </c>
      <c r="N108">
        <f t="shared" si="37"/>
        <v>0</v>
      </c>
      <c r="P108">
        <f t="shared" si="38"/>
        <v>0</v>
      </c>
      <c r="R108" t="e">
        <f t="shared" si="39"/>
        <v>#N/A</v>
      </c>
      <c r="S108" t="e" cm="1">
        <f t="array" ref="S108">INDEX($A$25:$A$325, R108, 1)</f>
        <v>#N/A</v>
      </c>
      <c r="T108" t="e">
        <f t="shared" si="40"/>
        <v>#N/A</v>
      </c>
      <c r="U108" t="e" cm="1">
        <f t="array" ref="U108">INDEX($F$25:$F$325, R108, 1)</f>
        <v>#N/A</v>
      </c>
      <c r="V108" t="e" cm="1">
        <f t="array" ref="V108">INDEX($B$25:$B$325, R108+2, 1)</f>
        <v>#N/A</v>
      </c>
      <c r="X108">
        <f t="shared" si="31"/>
        <v>0</v>
      </c>
      <c r="Y108">
        <v>0</v>
      </c>
      <c r="Z108">
        <f t="shared" si="41"/>
        <v>0</v>
      </c>
      <c r="AA108">
        <v>0</v>
      </c>
      <c r="AB108">
        <f t="shared" si="42"/>
        <v>0</v>
      </c>
      <c r="AC108">
        <v>0</v>
      </c>
      <c r="AD108">
        <f t="shared" si="43"/>
        <v>0</v>
      </c>
      <c r="AE108">
        <v>0</v>
      </c>
      <c r="AF108">
        <f t="shared" si="44"/>
        <v>0</v>
      </c>
      <c r="AG108">
        <v>0</v>
      </c>
      <c r="AH108">
        <f t="shared" si="45"/>
        <v>0</v>
      </c>
      <c r="AI108">
        <v>0</v>
      </c>
      <c r="AJ108">
        <f t="shared" si="46"/>
        <v>0</v>
      </c>
      <c r="AK108">
        <v>0</v>
      </c>
      <c r="AL108">
        <f t="shared" si="47"/>
        <v>0</v>
      </c>
      <c r="AM108">
        <v>0</v>
      </c>
      <c r="AN108">
        <f t="shared" si="48"/>
        <v>0</v>
      </c>
      <c r="AO108">
        <v>0</v>
      </c>
      <c r="AP108">
        <f t="shared" si="49"/>
        <v>0</v>
      </c>
      <c r="AQ108">
        <v>0</v>
      </c>
      <c r="BE108" s="6"/>
      <c r="BX108">
        <v>0</v>
      </c>
      <c r="BY108">
        <v>0</v>
      </c>
      <c r="CA108">
        <v>83</v>
      </c>
      <c r="CB108">
        <f t="shared" si="50"/>
        <v>0</v>
      </c>
    </row>
    <row r="109" spans="8:80" x14ac:dyDescent="0.3">
      <c r="H109">
        <f t="shared" si="32"/>
        <v>0</v>
      </c>
      <c r="I109">
        <v>85</v>
      </c>
      <c r="J109">
        <f t="shared" si="33"/>
        <v>0</v>
      </c>
      <c r="K109">
        <f t="shared" si="34"/>
        <v>0</v>
      </c>
      <c r="L109">
        <f t="shared" si="35"/>
        <v>0</v>
      </c>
      <c r="M109">
        <f t="shared" si="36"/>
        <v>0</v>
      </c>
      <c r="N109">
        <f t="shared" si="37"/>
        <v>0</v>
      </c>
      <c r="P109">
        <f t="shared" si="38"/>
        <v>0</v>
      </c>
      <c r="R109" t="e">
        <f t="shared" si="39"/>
        <v>#N/A</v>
      </c>
      <c r="S109" t="e" cm="1">
        <f t="array" ref="S109">INDEX($A$25:$A$325, R109, 1)</f>
        <v>#N/A</v>
      </c>
      <c r="T109" t="e">
        <f t="shared" si="40"/>
        <v>#N/A</v>
      </c>
      <c r="U109" t="e" cm="1">
        <f t="array" ref="U109">INDEX($F$25:$F$325, R109, 1)</f>
        <v>#N/A</v>
      </c>
      <c r="V109" t="e" cm="1">
        <f t="array" ref="V109">INDEX($B$25:$B$325, R109+2, 1)</f>
        <v>#N/A</v>
      </c>
      <c r="X109">
        <f t="shared" si="31"/>
        <v>0</v>
      </c>
      <c r="Y109">
        <v>0</v>
      </c>
      <c r="Z109">
        <f t="shared" si="41"/>
        <v>0</v>
      </c>
      <c r="AA109">
        <v>0</v>
      </c>
      <c r="AB109">
        <f t="shared" si="42"/>
        <v>0</v>
      </c>
      <c r="AC109">
        <v>0</v>
      </c>
      <c r="AD109">
        <f t="shared" si="43"/>
        <v>0</v>
      </c>
      <c r="AE109">
        <v>0</v>
      </c>
      <c r="AF109">
        <f t="shared" si="44"/>
        <v>0</v>
      </c>
      <c r="AG109">
        <v>0</v>
      </c>
      <c r="AH109">
        <f t="shared" si="45"/>
        <v>0</v>
      </c>
      <c r="AI109">
        <v>0</v>
      </c>
      <c r="AJ109">
        <f t="shared" si="46"/>
        <v>0</v>
      </c>
      <c r="AK109">
        <v>0</v>
      </c>
      <c r="AL109">
        <f t="shared" si="47"/>
        <v>0</v>
      </c>
      <c r="AM109">
        <v>0</v>
      </c>
      <c r="AN109">
        <f t="shared" si="48"/>
        <v>0</v>
      </c>
      <c r="AO109">
        <v>0</v>
      </c>
      <c r="AP109">
        <f t="shared" si="49"/>
        <v>0</v>
      </c>
      <c r="AQ109">
        <v>0</v>
      </c>
      <c r="BE109" s="6"/>
      <c r="BX109">
        <v>0</v>
      </c>
      <c r="BY109">
        <v>0</v>
      </c>
      <c r="CA109">
        <v>84</v>
      </c>
      <c r="CB109">
        <f t="shared" si="50"/>
        <v>0</v>
      </c>
    </row>
    <row r="110" spans="8:80" x14ac:dyDescent="0.3">
      <c r="H110">
        <f t="shared" si="32"/>
        <v>0</v>
      </c>
      <c r="I110">
        <v>86</v>
      </c>
      <c r="J110">
        <f t="shared" si="33"/>
        <v>0</v>
      </c>
      <c r="K110">
        <f t="shared" si="34"/>
        <v>0</v>
      </c>
      <c r="L110">
        <f t="shared" si="35"/>
        <v>0</v>
      </c>
      <c r="M110">
        <f t="shared" si="36"/>
        <v>0</v>
      </c>
      <c r="N110">
        <f t="shared" si="37"/>
        <v>0</v>
      </c>
      <c r="P110">
        <f t="shared" si="38"/>
        <v>0</v>
      </c>
      <c r="R110" t="e">
        <f t="shared" si="39"/>
        <v>#N/A</v>
      </c>
      <c r="S110" t="e" cm="1">
        <f t="array" ref="S110">INDEX($A$25:$A$325, R110, 1)</f>
        <v>#N/A</v>
      </c>
      <c r="T110" t="e">
        <f t="shared" si="40"/>
        <v>#N/A</v>
      </c>
      <c r="U110" t="e" cm="1">
        <f t="array" ref="U110">INDEX($F$25:$F$325, R110, 1)</f>
        <v>#N/A</v>
      </c>
      <c r="V110" t="e" cm="1">
        <f t="array" ref="V110">INDEX($B$25:$B$325, R110+2, 1)</f>
        <v>#N/A</v>
      </c>
      <c r="X110">
        <f t="shared" si="31"/>
        <v>0</v>
      </c>
      <c r="Y110">
        <v>0</v>
      </c>
      <c r="Z110">
        <f t="shared" si="41"/>
        <v>0</v>
      </c>
      <c r="AA110">
        <v>0</v>
      </c>
      <c r="AB110">
        <f t="shared" si="42"/>
        <v>0</v>
      </c>
      <c r="AC110">
        <v>0</v>
      </c>
      <c r="AD110">
        <f t="shared" si="43"/>
        <v>0</v>
      </c>
      <c r="AE110">
        <v>0</v>
      </c>
      <c r="AF110">
        <f t="shared" si="44"/>
        <v>0</v>
      </c>
      <c r="AG110">
        <v>0</v>
      </c>
      <c r="AH110">
        <f t="shared" si="45"/>
        <v>0</v>
      </c>
      <c r="AI110">
        <v>0</v>
      </c>
      <c r="AJ110">
        <f t="shared" si="46"/>
        <v>0</v>
      </c>
      <c r="AK110">
        <v>0</v>
      </c>
      <c r="AL110">
        <f t="shared" si="47"/>
        <v>0</v>
      </c>
      <c r="AM110">
        <v>0</v>
      </c>
      <c r="AN110">
        <f t="shared" si="48"/>
        <v>0</v>
      </c>
      <c r="AO110">
        <v>0</v>
      </c>
      <c r="AP110">
        <f t="shared" si="49"/>
        <v>0</v>
      </c>
      <c r="AQ110">
        <v>0</v>
      </c>
      <c r="BE110" s="6"/>
      <c r="BX110">
        <v>0</v>
      </c>
      <c r="BY110">
        <v>0</v>
      </c>
      <c r="CA110">
        <v>85</v>
      </c>
      <c r="CB110">
        <f t="shared" si="50"/>
        <v>0</v>
      </c>
    </row>
    <row r="111" spans="8:80" x14ac:dyDescent="0.3">
      <c r="H111">
        <f t="shared" si="32"/>
        <v>0</v>
      </c>
      <c r="I111">
        <v>87</v>
      </c>
      <c r="J111">
        <f t="shared" si="33"/>
        <v>0</v>
      </c>
      <c r="K111">
        <f t="shared" si="34"/>
        <v>0</v>
      </c>
      <c r="L111">
        <f t="shared" si="35"/>
        <v>0</v>
      </c>
      <c r="M111">
        <f t="shared" si="36"/>
        <v>0</v>
      </c>
      <c r="N111">
        <f t="shared" si="37"/>
        <v>0</v>
      </c>
      <c r="P111">
        <f t="shared" si="38"/>
        <v>0</v>
      </c>
      <c r="R111" t="e">
        <f t="shared" si="39"/>
        <v>#N/A</v>
      </c>
      <c r="S111" t="e" cm="1">
        <f t="array" ref="S111">INDEX($A$25:$A$325, R111, 1)</f>
        <v>#N/A</v>
      </c>
      <c r="T111" t="e">
        <f t="shared" si="40"/>
        <v>#N/A</v>
      </c>
      <c r="U111" t="e" cm="1">
        <f t="array" ref="U111">INDEX($F$25:$F$325, R111, 1)</f>
        <v>#N/A</v>
      </c>
      <c r="V111" t="e" cm="1">
        <f t="array" ref="V111">INDEX($B$25:$B$325, R111+2, 1)</f>
        <v>#N/A</v>
      </c>
      <c r="X111">
        <f t="shared" si="31"/>
        <v>0</v>
      </c>
      <c r="Y111">
        <v>0</v>
      </c>
      <c r="Z111">
        <f t="shared" si="41"/>
        <v>0</v>
      </c>
      <c r="AA111">
        <v>0</v>
      </c>
      <c r="AB111">
        <f t="shared" si="42"/>
        <v>0</v>
      </c>
      <c r="AC111">
        <v>0</v>
      </c>
      <c r="AD111">
        <f t="shared" si="43"/>
        <v>0</v>
      </c>
      <c r="AE111">
        <v>0</v>
      </c>
      <c r="AF111">
        <f t="shared" si="44"/>
        <v>0</v>
      </c>
      <c r="AG111">
        <v>0</v>
      </c>
      <c r="AH111">
        <f t="shared" si="45"/>
        <v>0</v>
      </c>
      <c r="AI111">
        <v>0</v>
      </c>
      <c r="AJ111">
        <f t="shared" si="46"/>
        <v>0</v>
      </c>
      <c r="AK111">
        <v>0</v>
      </c>
      <c r="AL111">
        <f t="shared" si="47"/>
        <v>0</v>
      </c>
      <c r="AM111">
        <v>0</v>
      </c>
      <c r="AN111">
        <f t="shared" si="48"/>
        <v>0</v>
      </c>
      <c r="AO111">
        <v>0</v>
      </c>
      <c r="AP111">
        <f t="shared" si="49"/>
        <v>0</v>
      </c>
      <c r="AQ111">
        <v>0</v>
      </c>
      <c r="BE111" s="6"/>
      <c r="BX111">
        <v>0</v>
      </c>
      <c r="BY111">
        <v>0</v>
      </c>
      <c r="CA111">
        <v>86</v>
      </c>
      <c r="CB111">
        <f t="shared" si="50"/>
        <v>0</v>
      </c>
    </row>
    <row r="112" spans="8:80" x14ac:dyDescent="0.3">
      <c r="H112">
        <f t="shared" si="32"/>
        <v>0</v>
      </c>
      <c r="I112">
        <v>88</v>
      </c>
      <c r="J112">
        <f t="shared" si="33"/>
        <v>0</v>
      </c>
      <c r="K112">
        <f t="shared" si="34"/>
        <v>0</v>
      </c>
      <c r="L112">
        <f t="shared" si="35"/>
        <v>0</v>
      </c>
      <c r="M112">
        <f t="shared" si="36"/>
        <v>0</v>
      </c>
      <c r="N112">
        <f t="shared" si="37"/>
        <v>0</v>
      </c>
      <c r="P112">
        <f t="shared" si="38"/>
        <v>0</v>
      </c>
      <c r="R112" t="e">
        <f t="shared" si="39"/>
        <v>#N/A</v>
      </c>
      <c r="S112" t="e" cm="1">
        <f t="array" ref="S112">INDEX($A$25:$A$325, R112, 1)</f>
        <v>#N/A</v>
      </c>
      <c r="T112" t="e">
        <f t="shared" si="40"/>
        <v>#N/A</v>
      </c>
      <c r="U112" t="e" cm="1">
        <f t="array" ref="U112">INDEX($F$25:$F$325, R112, 1)</f>
        <v>#N/A</v>
      </c>
      <c r="V112" t="e" cm="1">
        <f t="array" ref="V112">INDEX($B$25:$B$325, R112+2, 1)</f>
        <v>#N/A</v>
      </c>
      <c r="X112">
        <f t="shared" si="31"/>
        <v>0</v>
      </c>
      <c r="Y112">
        <v>0</v>
      </c>
      <c r="Z112">
        <f t="shared" si="41"/>
        <v>0</v>
      </c>
      <c r="AA112">
        <v>0</v>
      </c>
      <c r="AB112">
        <f t="shared" si="42"/>
        <v>0</v>
      </c>
      <c r="AC112">
        <v>0</v>
      </c>
      <c r="AD112">
        <f t="shared" si="43"/>
        <v>0</v>
      </c>
      <c r="AE112">
        <v>0</v>
      </c>
      <c r="AF112">
        <f t="shared" si="44"/>
        <v>0</v>
      </c>
      <c r="AG112">
        <v>0</v>
      </c>
      <c r="AH112">
        <f t="shared" si="45"/>
        <v>0</v>
      </c>
      <c r="AI112">
        <v>0</v>
      </c>
      <c r="AJ112">
        <f t="shared" si="46"/>
        <v>0</v>
      </c>
      <c r="AK112">
        <v>0</v>
      </c>
      <c r="AL112">
        <f t="shared" si="47"/>
        <v>0</v>
      </c>
      <c r="AM112">
        <v>0</v>
      </c>
      <c r="AN112">
        <f t="shared" si="48"/>
        <v>0</v>
      </c>
      <c r="AO112">
        <v>0</v>
      </c>
      <c r="AP112">
        <f t="shared" si="49"/>
        <v>0</v>
      </c>
      <c r="AQ112">
        <v>0</v>
      </c>
      <c r="BE112" s="6"/>
      <c r="BX112">
        <v>0</v>
      </c>
      <c r="BY112">
        <v>0</v>
      </c>
      <c r="CA112">
        <v>87</v>
      </c>
      <c r="CB112">
        <f t="shared" si="50"/>
        <v>0</v>
      </c>
    </row>
    <row r="113" spans="8:80" x14ac:dyDescent="0.3">
      <c r="H113">
        <f t="shared" si="32"/>
        <v>0</v>
      </c>
      <c r="I113">
        <v>89</v>
      </c>
      <c r="J113">
        <f t="shared" si="33"/>
        <v>0</v>
      </c>
      <c r="K113">
        <f t="shared" si="34"/>
        <v>0</v>
      </c>
      <c r="L113">
        <f t="shared" si="35"/>
        <v>0</v>
      </c>
      <c r="M113">
        <f t="shared" si="36"/>
        <v>0</v>
      </c>
      <c r="N113">
        <f t="shared" si="37"/>
        <v>0</v>
      </c>
      <c r="P113">
        <f t="shared" si="38"/>
        <v>0</v>
      </c>
      <c r="R113" t="e">
        <f t="shared" si="39"/>
        <v>#N/A</v>
      </c>
      <c r="S113" t="e" cm="1">
        <f t="array" ref="S113">INDEX($A$25:$A$325, R113, 1)</f>
        <v>#N/A</v>
      </c>
      <c r="T113" t="e">
        <f t="shared" si="40"/>
        <v>#N/A</v>
      </c>
      <c r="U113" t="e" cm="1">
        <f t="array" ref="U113">INDEX($F$25:$F$325, R113, 1)</f>
        <v>#N/A</v>
      </c>
      <c r="V113" t="e" cm="1">
        <f t="array" ref="V113">INDEX($B$25:$B$325, R113+2, 1)</f>
        <v>#N/A</v>
      </c>
      <c r="X113">
        <f t="shared" si="31"/>
        <v>0</v>
      </c>
      <c r="Y113">
        <v>0</v>
      </c>
      <c r="Z113">
        <f t="shared" si="41"/>
        <v>0</v>
      </c>
      <c r="AA113">
        <v>0</v>
      </c>
      <c r="AB113">
        <f t="shared" si="42"/>
        <v>0</v>
      </c>
      <c r="AC113">
        <v>0</v>
      </c>
      <c r="AD113">
        <f t="shared" si="43"/>
        <v>0</v>
      </c>
      <c r="AE113">
        <v>0</v>
      </c>
      <c r="AF113">
        <f t="shared" si="44"/>
        <v>0</v>
      </c>
      <c r="AG113">
        <v>0</v>
      </c>
      <c r="AH113">
        <f t="shared" si="45"/>
        <v>0</v>
      </c>
      <c r="AI113">
        <v>0</v>
      </c>
      <c r="AJ113">
        <f t="shared" si="46"/>
        <v>0</v>
      </c>
      <c r="AK113">
        <v>0</v>
      </c>
      <c r="AL113">
        <f t="shared" si="47"/>
        <v>0</v>
      </c>
      <c r="AM113">
        <v>0</v>
      </c>
      <c r="AN113">
        <f t="shared" si="48"/>
        <v>0</v>
      </c>
      <c r="AO113">
        <v>0</v>
      </c>
      <c r="AP113">
        <f t="shared" si="49"/>
        <v>0</v>
      </c>
      <c r="AQ113">
        <v>0</v>
      </c>
      <c r="BE113" s="6"/>
      <c r="BX113">
        <v>0</v>
      </c>
      <c r="BY113">
        <v>0</v>
      </c>
      <c r="CA113">
        <v>88</v>
      </c>
      <c r="CB113">
        <f t="shared" si="50"/>
        <v>0</v>
      </c>
    </row>
    <row r="114" spans="8:80" x14ac:dyDescent="0.3">
      <c r="H114">
        <f t="shared" si="32"/>
        <v>0</v>
      </c>
      <c r="I114">
        <v>90</v>
      </c>
      <c r="J114">
        <f t="shared" si="33"/>
        <v>0</v>
      </c>
      <c r="K114">
        <f t="shared" si="34"/>
        <v>0</v>
      </c>
      <c r="L114">
        <f t="shared" si="35"/>
        <v>0</v>
      </c>
      <c r="M114">
        <f t="shared" si="36"/>
        <v>0</v>
      </c>
      <c r="N114">
        <f t="shared" si="37"/>
        <v>0</v>
      </c>
      <c r="P114">
        <f t="shared" si="38"/>
        <v>0</v>
      </c>
      <c r="R114" t="e">
        <f t="shared" si="39"/>
        <v>#N/A</v>
      </c>
      <c r="S114" t="e" cm="1">
        <f t="array" ref="S114">INDEX($A$25:$A$325, R114, 1)</f>
        <v>#N/A</v>
      </c>
      <c r="T114" t="e">
        <f t="shared" si="40"/>
        <v>#N/A</v>
      </c>
      <c r="U114" t="e" cm="1">
        <f t="array" ref="U114">INDEX($F$25:$F$325, R114, 1)</f>
        <v>#N/A</v>
      </c>
      <c r="V114" t="e" cm="1">
        <f t="array" ref="V114">INDEX($B$25:$B$325, R114+2, 1)</f>
        <v>#N/A</v>
      </c>
      <c r="X114">
        <f t="shared" si="31"/>
        <v>0</v>
      </c>
      <c r="Y114">
        <v>0</v>
      </c>
      <c r="Z114">
        <f t="shared" si="41"/>
        <v>0</v>
      </c>
      <c r="AA114">
        <v>0</v>
      </c>
      <c r="AB114">
        <f t="shared" si="42"/>
        <v>0</v>
      </c>
      <c r="AC114">
        <v>0</v>
      </c>
      <c r="AD114">
        <f t="shared" si="43"/>
        <v>0</v>
      </c>
      <c r="AE114">
        <v>0</v>
      </c>
      <c r="AF114">
        <f t="shared" si="44"/>
        <v>0</v>
      </c>
      <c r="AG114">
        <v>0</v>
      </c>
      <c r="AH114">
        <f t="shared" si="45"/>
        <v>0</v>
      </c>
      <c r="AI114">
        <v>0</v>
      </c>
      <c r="AJ114">
        <f t="shared" si="46"/>
        <v>0</v>
      </c>
      <c r="AK114">
        <v>0</v>
      </c>
      <c r="AL114">
        <f t="shared" si="47"/>
        <v>0</v>
      </c>
      <c r="AM114">
        <v>0</v>
      </c>
      <c r="AN114">
        <f t="shared" si="48"/>
        <v>0</v>
      </c>
      <c r="AO114">
        <v>0</v>
      </c>
      <c r="AP114">
        <f t="shared" si="49"/>
        <v>0</v>
      </c>
      <c r="AQ114">
        <v>0</v>
      </c>
      <c r="BE114" s="6"/>
      <c r="BX114">
        <v>0</v>
      </c>
      <c r="BY114">
        <v>0</v>
      </c>
      <c r="CA114">
        <v>89</v>
      </c>
      <c r="CB114">
        <f t="shared" si="50"/>
        <v>0</v>
      </c>
    </row>
    <row r="115" spans="8:80" x14ac:dyDescent="0.3">
      <c r="H115">
        <f t="shared" si="32"/>
        <v>0</v>
      </c>
      <c r="I115">
        <v>91</v>
      </c>
      <c r="J115">
        <f t="shared" si="33"/>
        <v>0</v>
      </c>
      <c r="K115">
        <f t="shared" si="34"/>
        <v>0</v>
      </c>
      <c r="L115">
        <f t="shared" si="35"/>
        <v>0</v>
      </c>
      <c r="M115">
        <f t="shared" si="36"/>
        <v>0</v>
      </c>
      <c r="N115">
        <f t="shared" si="37"/>
        <v>0</v>
      </c>
      <c r="P115">
        <f t="shared" si="38"/>
        <v>0</v>
      </c>
      <c r="R115" t="e">
        <f t="shared" si="39"/>
        <v>#N/A</v>
      </c>
      <c r="S115" t="e" cm="1">
        <f t="array" ref="S115">INDEX($A$25:$A$325, R115, 1)</f>
        <v>#N/A</v>
      </c>
      <c r="T115" t="e">
        <f t="shared" si="40"/>
        <v>#N/A</v>
      </c>
      <c r="U115" t="e" cm="1">
        <f t="array" ref="U115">INDEX($F$25:$F$325, R115, 1)</f>
        <v>#N/A</v>
      </c>
      <c r="V115" t="e" cm="1">
        <f t="array" ref="V115">INDEX($B$25:$B$325, R115+2, 1)</f>
        <v>#N/A</v>
      </c>
      <c r="X115">
        <f t="shared" si="31"/>
        <v>0</v>
      </c>
      <c r="Y115">
        <v>0</v>
      </c>
      <c r="Z115">
        <f t="shared" si="41"/>
        <v>0</v>
      </c>
      <c r="AA115">
        <v>0</v>
      </c>
      <c r="AB115">
        <f t="shared" si="42"/>
        <v>0</v>
      </c>
      <c r="AC115">
        <v>0</v>
      </c>
      <c r="AD115">
        <f t="shared" si="43"/>
        <v>0</v>
      </c>
      <c r="AE115">
        <v>0</v>
      </c>
      <c r="AF115">
        <f t="shared" si="44"/>
        <v>0</v>
      </c>
      <c r="AG115">
        <v>0</v>
      </c>
      <c r="AH115">
        <f t="shared" si="45"/>
        <v>0</v>
      </c>
      <c r="AI115">
        <v>0</v>
      </c>
      <c r="AJ115">
        <f t="shared" si="46"/>
        <v>0</v>
      </c>
      <c r="AK115">
        <v>0</v>
      </c>
      <c r="AL115">
        <f t="shared" si="47"/>
        <v>0</v>
      </c>
      <c r="AM115">
        <v>0</v>
      </c>
      <c r="AN115">
        <f t="shared" si="48"/>
        <v>0</v>
      </c>
      <c r="AO115">
        <v>0</v>
      </c>
      <c r="AP115">
        <f t="shared" si="49"/>
        <v>0</v>
      </c>
      <c r="AQ115">
        <v>0</v>
      </c>
      <c r="BE115" s="6"/>
      <c r="BX115">
        <v>0</v>
      </c>
      <c r="BY115">
        <v>0</v>
      </c>
      <c r="CA115">
        <v>90</v>
      </c>
      <c r="CB115">
        <f t="shared" si="50"/>
        <v>0</v>
      </c>
    </row>
    <row r="116" spans="8:80" x14ac:dyDescent="0.3">
      <c r="H116">
        <f t="shared" si="32"/>
        <v>0</v>
      </c>
      <c r="I116">
        <v>92</v>
      </c>
      <c r="J116">
        <f t="shared" si="33"/>
        <v>0</v>
      </c>
      <c r="K116">
        <f t="shared" si="34"/>
        <v>0</v>
      </c>
      <c r="L116">
        <f t="shared" si="35"/>
        <v>0</v>
      </c>
      <c r="M116">
        <f t="shared" si="36"/>
        <v>0</v>
      </c>
      <c r="N116">
        <f t="shared" si="37"/>
        <v>0</v>
      </c>
      <c r="P116">
        <f t="shared" si="38"/>
        <v>0</v>
      </c>
      <c r="R116" t="e">
        <f t="shared" si="39"/>
        <v>#N/A</v>
      </c>
      <c r="S116" t="e" cm="1">
        <f t="array" ref="S116">INDEX($A$25:$A$325, R116, 1)</f>
        <v>#N/A</v>
      </c>
      <c r="T116" t="e">
        <f t="shared" si="40"/>
        <v>#N/A</v>
      </c>
      <c r="U116" t="e" cm="1">
        <f t="array" ref="U116">INDEX($F$25:$F$325, R116, 1)</f>
        <v>#N/A</v>
      </c>
      <c r="V116" t="e" cm="1">
        <f t="array" ref="V116">INDEX($B$25:$B$325, R116+2, 1)</f>
        <v>#N/A</v>
      </c>
      <c r="X116">
        <f t="shared" si="31"/>
        <v>0</v>
      </c>
      <c r="Y116">
        <v>0</v>
      </c>
      <c r="Z116">
        <f t="shared" si="41"/>
        <v>0</v>
      </c>
      <c r="AA116">
        <v>0</v>
      </c>
      <c r="AB116">
        <f t="shared" si="42"/>
        <v>0</v>
      </c>
      <c r="AC116">
        <v>0</v>
      </c>
      <c r="AD116">
        <f t="shared" si="43"/>
        <v>0</v>
      </c>
      <c r="AE116">
        <v>0</v>
      </c>
      <c r="AF116">
        <f t="shared" si="44"/>
        <v>0</v>
      </c>
      <c r="AG116">
        <v>0</v>
      </c>
      <c r="AH116">
        <f t="shared" si="45"/>
        <v>0</v>
      </c>
      <c r="AI116">
        <v>0</v>
      </c>
      <c r="AJ116">
        <f t="shared" si="46"/>
        <v>0</v>
      </c>
      <c r="AK116">
        <v>0</v>
      </c>
      <c r="AL116">
        <f t="shared" si="47"/>
        <v>0</v>
      </c>
      <c r="AM116">
        <v>0</v>
      </c>
      <c r="AN116">
        <f t="shared" si="48"/>
        <v>0</v>
      </c>
      <c r="AO116">
        <v>0</v>
      </c>
      <c r="AP116">
        <f t="shared" si="49"/>
        <v>0</v>
      </c>
      <c r="AQ116">
        <v>0</v>
      </c>
      <c r="BE116" s="6"/>
      <c r="BX116">
        <v>0</v>
      </c>
      <c r="BY116">
        <v>0</v>
      </c>
      <c r="CA116">
        <v>91</v>
      </c>
      <c r="CB116">
        <f t="shared" si="50"/>
        <v>0</v>
      </c>
    </row>
    <row r="117" spans="8:80" x14ac:dyDescent="0.3">
      <c r="H117">
        <f t="shared" si="32"/>
        <v>0</v>
      </c>
      <c r="I117">
        <v>93</v>
      </c>
      <c r="J117">
        <f t="shared" si="33"/>
        <v>0</v>
      </c>
      <c r="K117">
        <f t="shared" si="34"/>
        <v>0</v>
      </c>
      <c r="L117">
        <f t="shared" si="35"/>
        <v>0</v>
      </c>
      <c r="M117">
        <f t="shared" si="36"/>
        <v>0</v>
      </c>
      <c r="N117">
        <f t="shared" si="37"/>
        <v>0</v>
      </c>
      <c r="P117">
        <f t="shared" si="38"/>
        <v>0</v>
      </c>
      <c r="R117" t="e">
        <f t="shared" si="39"/>
        <v>#N/A</v>
      </c>
      <c r="S117" t="e" cm="1">
        <f t="array" ref="S117">INDEX($A$25:$A$325, R117, 1)</f>
        <v>#N/A</v>
      </c>
      <c r="T117" t="e">
        <f t="shared" si="40"/>
        <v>#N/A</v>
      </c>
      <c r="U117" t="e" cm="1">
        <f t="array" ref="U117">INDEX($F$25:$F$325, R117, 1)</f>
        <v>#N/A</v>
      </c>
      <c r="V117" t="e" cm="1">
        <f t="array" ref="V117">INDEX($B$25:$B$325, R117+2, 1)</f>
        <v>#N/A</v>
      </c>
      <c r="X117">
        <f t="shared" si="31"/>
        <v>0</v>
      </c>
      <c r="Y117">
        <v>0</v>
      </c>
      <c r="Z117">
        <f t="shared" si="41"/>
        <v>0</v>
      </c>
      <c r="AA117">
        <v>0</v>
      </c>
      <c r="AB117">
        <f t="shared" si="42"/>
        <v>0</v>
      </c>
      <c r="AC117">
        <v>0</v>
      </c>
      <c r="AD117">
        <f t="shared" si="43"/>
        <v>0</v>
      </c>
      <c r="AE117">
        <v>0</v>
      </c>
      <c r="AF117">
        <f t="shared" si="44"/>
        <v>0</v>
      </c>
      <c r="AG117">
        <v>0</v>
      </c>
      <c r="AH117">
        <f t="shared" si="45"/>
        <v>0</v>
      </c>
      <c r="AI117">
        <v>0</v>
      </c>
      <c r="AJ117">
        <f t="shared" si="46"/>
        <v>0</v>
      </c>
      <c r="AK117">
        <v>0</v>
      </c>
      <c r="AL117">
        <f t="shared" si="47"/>
        <v>0</v>
      </c>
      <c r="AM117">
        <v>0</v>
      </c>
      <c r="AN117">
        <f t="shared" si="48"/>
        <v>0</v>
      </c>
      <c r="AO117">
        <v>0</v>
      </c>
      <c r="AP117">
        <f t="shared" si="49"/>
        <v>0</v>
      </c>
      <c r="AQ117">
        <v>0</v>
      </c>
      <c r="BE117" s="6"/>
      <c r="BX117">
        <v>0</v>
      </c>
      <c r="BY117">
        <v>0</v>
      </c>
      <c r="CA117">
        <v>92</v>
      </c>
      <c r="CB117">
        <f t="shared" si="50"/>
        <v>0</v>
      </c>
    </row>
    <row r="118" spans="8:80" x14ac:dyDescent="0.3">
      <c r="H118">
        <f t="shared" si="32"/>
        <v>0</v>
      </c>
      <c r="I118">
        <v>94</v>
      </c>
      <c r="J118">
        <f t="shared" si="33"/>
        <v>0</v>
      </c>
      <c r="K118">
        <f t="shared" si="34"/>
        <v>0</v>
      </c>
      <c r="L118">
        <f t="shared" si="35"/>
        <v>0</v>
      </c>
      <c r="M118">
        <f t="shared" si="36"/>
        <v>0</v>
      </c>
      <c r="N118">
        <f t="shared" si="37"/>
        <v>0</v>
      </c>
      <c r="P118">
        <f t="shared" si="38"/>
        <v>0</v>
      </c>
      <c r="R118" t="e">
        <f t="shared" si="39"/>
        <v>#N/A</v>
      </c>
      <c r="S118" t="e" cm="1">
        <f t="array" ref="S118">INDEX($A$25:$A$325, R118, 1)</f>
        <v>#N/A</v>
      </c>
      <c r="T118" t="e">
        <f t="shared" si="40"/>
        <v>#N/A</v>
      </c>
      <c r="U118" t="e" cm="1">
        <f t="array" ref="U118">INDEX($F$25:$F$325, R118, 1)</f>
        <v>#N/A</v>
      </c>
      <c r="V118" t="e" cm="1">
        <f t="array" ref="V118">INDEX($B$25:$B$325, R118+2, 1)</f>
        <v>#N/A</v>
      </c>
      <c r="X118">
        <f t="shared" si="31"/>
        <v>0</v>
      </c>
      <c r="Y118">
        <v>0</v>
      </c>
      <c r="Z118">
        <f t="shared" si="41"/>
        <v>0</v>
      </c>
      <c r="AA118">
        <v>0</v>
      </c>
      <c r="AB118">
        <f t="shared" si="42"/>
        <v>0</v>
      </c>
      <c r="AC118">
        <v>0</v>
      </c>
      <c r="AD118">
        <f t="shared" si="43"/>
        <v>0</v>
      </c>
      <c r="AE118">
        <v>0</v>
      </c>
      <c r="AF118">
        <f t="shared" si="44"/>
        <v>0</v>
      </c>
      <c r="AG118">
        <v>0</v>
      </c>
      <c r="AH118">
        <f t="shared" si="45"/>
        <v>0</v>
      </c>
      <c r="AI118">
        <v>0</v>
      </c>
      <c r="AJ118">
        <f t="shared" si="46"/>
        <v>0</v>
      </c>
      <c r="AK118">
        <v>0</v>
      </c>
      <c r="AL118">
        <f t="shared" si="47"/>
        <v>0</v>
      </c>
      <c r="AM118">
        <v>0</v>
      </c>
      <c r="AN118">
        <f t="shared" si="48"/>
        <v>0</v>
      </c>
      <c r="AO118">
        <v>0</v>
      </c>
      <c r="AP118">
        <f t="shared" si="49"/>
        <v>0</v>
      </c>
      <c r="AQ118">
        <v>0</v>
      </c>
      <c r="BX118">
        <v>0</v>
      </c>
      <c r="BY118">
        <v>0</v>
      </c>
      <c r="CA118">
        <v>93</v>
      </c>
      <c r="CB118">
        <f t="shared" si="50"/>
        <v>0</v>
      </c>
    </row>
    <row r="119" spans="8:80" x14ac:dyDescent="0.3">
      <c r="H119">
        <f t="shared" si="32"/>
        <v>0</v>
      </c>
      <c r="I119">
        <v>95</v>
      </c>
      <c r="J119">
        <f t="shared" si="33"/>
        <v>0</v>
      </c>
      <c r="K119">
        <f t="shared" si="34"/>
        <v>0</v>
      </c>
      <c r="L119">
        <f t="shared" si="35"/>
        <v>0</v>
      </c>
      <c r="M119">
        <f t="shared" si="36"/>
        <v>0</v>
      </c>
      <c r="N119">
        <f t="shared" si="37"/>
        <v>0</v>
      </c>
      <c r="P119">
        <f t="shared" si="38"/>
        <v>0</v>
      </c>
      <c r="R119" t="e">
        <f t="shared" si="39"/>
        <v>#N/A</v>
      </c>
      <c r="S119" t="e" cm="1">
        <f t="array" ref="S119">INDEX($A$25:$A$325, R119, 1)</f>
        <v>#N/A</v>
      </c>
      <c r="T119" t="e">
        <f t="shared" si="40"/>
        <v>#N/A</v>
      </c>
      <c r="U119" t="e" cm="1">
        <f t="array" ref="U119">INDEX($F$25:$F$325, R119, 1)</f>
        <v>#N/A</v>
      </c>
      <c r="V119" t="e" cm="1">
        <f t="array" ref="V119">INDEX($B$25:$B$325, R119+2, 1)</f>
        <v>#N/A</v>
      </c>
      <c r="X119">
        <f t="shared" si="31"/>
        <v>0</v>
      </c>
      <c r="Y119">
        <v>0</v>
      </c>
      <c r="Z119">
        <f t="shared" si="41"/>
        <v>0</v>
      </c>
      <c r="AA119">
        <v>0</v>
      </c>
      <c r="AB119">
        <f t="shared" si="42"/>
        <v>0</v>
      </c>
      <c r="AC119">
        <v>0</v>
      </c>
      <c r="AD119">
        <f t="shared" si="43"/>
        <v>0</v>
      </c>
      <c r="AE119">
        <v>0</v>
      </c>
      <c r="AF119">
        <f t="shared" si="44"/>
        <v>0</v>
      </c>
      <c r="AG119">
        <v>0</v>
      </c>
      <c r="AH119">
        <f t="shared" si="45"/>
        <v>0</v>
      </c>
      <c r="AI119">
        <v>0</v>
      </c>
      <c r="AJ119">
        <f t="shared" si="46"/>
        <v>0</v>
      </c>
      <c r="AK119">
        <v>0</v>
      </c>
      <c r="AL119">
        <f t="shared" si="47"/>
        <v>0</v>
      </c>
      <c r="AM119">
        <v>0</v>
      </c>
      <c r="AN119">
        <f t="shared" si="48"/>
        <v>0</v>
      </c>
      <c r="AO119">
        <v>0</v>
      </c>
      <c r="AP119">
        <f t="shared" si="49"/>
        <v>0</v>
      </c>
      <c r="AQ119">
        <v>0</v>
      </c>
      <c r="BX119">
        <v>0</v>
      </c>
      <c r="BY119">
        <v>0</v>
      </c>
      <c r="CA119">
        <v>94</v>
      </c>
      <c r="CB119">
        <f t="shared" si="50"/>
        <v>0</v>
      </c>
    </row>
    <row r="120" spans="8:80" x14ac:dyDescent="0.3">
      <c r="H120">
        <f t="shared" si="32"/>
        <v>0</v>
      </c>
      <c r="I120">
        <v>96</v>
      </c>
      <c r="J120">
        <f t="shared" si="33"/>
        <v>0</v>
      </c>
      <c r="K120">
        <f t="shared" si="34"/>
        <v>0</v>
      </c>
      <c r="L120">
        <f t="shared" si="35"/>
        <v>0</v>
      </c>
      <c r="M120">
        <f t="shared" si="36"/>
        <v>0</v>
      </c>
      <c r="N120">
        <f t="shared" si="37"/>
        <v>0</v>
      </c>
      <c r="P120">
        <f t="shared" si="38"/>
        <v>0</v>
      </c>
      <c r="R120" t="e">
        <f t="shared" si="39"/>
        <v>#N/A</v>
      </c>
      <c r="S120" t="e" cm="1">
        <f t="array" ref="S120">INDEX($A$25:$A$325, R120, 1)</f>
        <v>#N/A</v>
      </c>
      <c r="T120" t="e">
        <f t="shared" si="40"/>
        <v>#N/A</v>
      </c>
      <c r="U120" t="e" cm="1">
        <f t="array" ref="U120">INDEX($F$25:$F$325, R120, 1)</f>
        <v>#N/A</v>
      </c>
      <c r="V120" t="e" cm="1">
        <f t="array" ref="V120">INDEX($B$25:$B$325, R120+2, 1)</f>
        <v>#N/A</v>
      </c>
      <c r="X120">
        <f t="shared" si="31"/>
        <v>0</v>
      </c>
      <c r="Y120">
        <v>0</v>
      </c>
      <c r="Z120">
        <f t="shared" si="41"/>
        <v>0</v>
      </c>
      <c r="AA120">
        <v>0</v>
      </c>
      <c r="AB120">
        <f t="shared" si="42"/>
        <v>0</v>
      </c>
      <c r="AC120">
        <v>0</v>
      </c>
      <c r="AD120">
        <f t="shared" si="43"/>
        <v>0</v>
      </c>
      <c r="AE120">
        <v>0</v>
      </c>
      <c r="AF120">
        <f t="shared" si="44"/>
        <v>0</v>
      </c>
      <c r="AG120">
        <v>0</v>
      </c>
      <c r="AH120">
        <f t="shared" si="45"/>
        <v>0</v>
      </c>
      <c r="AI120">
        <v>0</v>
      </c>
      <c r="AJ120">
        <f t="shared" si="46"/>
        <v>0</v>
      </c>
      <c r="AK120">
        <v>0</v>
      </c>
      <c r="AL120">
        <f t="shared" si="47"/>
        <v>0</v>
      </c>
      <c r="AM120">
        <v>0</v>
      </c>
      <c r="AN120">
        <f t="shared" si="48"/>
        <v>0</v>
      </c>
      <c r="AO120">
        <v>0</v>
      </c>
      <c r="AP120">
        <f t="shared" si="49"/>
        <v>0</v>
      </c>
      <c r="AQ120">
        <v>0</v>
      </c>
      <c r="BX120">
        <v>0</v>
      </c>
      <c r="BY120">
        <v>0</v>
      </c>
      <c r="CA120">
        <v>95</v>
      </c>
      <c r="CB120">
        <f t="shared" si="50"/>
        <v>0</v>
      </c>
    </row>
    <row r="121" spans="8:80" x14ac:dyDescent="0.3">
      <c r="H121">
        <f t="shared" si="32"/>
        <v>0</v>
      </c>
      <c r="I121">
        <v>97</v>
      </c>
      <c r="J121">
        <f t="shared" si="33"/>
        <v>0</v>
      </c>
      <c r="K121">
        <f t="shared" si="34"/>
        <v>0</v>
      </c>
      <c r="L121">
        <f t="shared" si="35"/>
        <v>0</v>
      </c>
      <c r="M121">
        <f t="shared" si="36"/>
        <v>0</v>
      </c>
      <c r="N121">
        <f t="shared" si="37"/>
        <v>0</v>
      </c>
      <c r="P121">
        <f t="shared" si="38"/>
        <v>0</v>
      </c>
      <c r="R121" t="e">
        <f t="shared" si="39"/>
        <v>#N/A</v>
      </c>
      <c r="S121" t="e" cm="1">
        <f t="array" ref="S121">INDEX($A$25:$A$325, R121, 1)</f>
        <v>#N/A</v>
      </c>
      <c r="T121" t="e">
        <f t="shared" si="40"/>
        <v>#N/A</v>
      </c>
      <c r="U121" t="e" cm="1">
        <f t="array" ref="U121">INDEX($F$25:$F$325, R121, 1)</f>
        <v>#N/A</v>
      </c>
      <c r="V121" t="e" cm="1">
        <f t="array" ref="V121">INDEX($B$25:$B$325, R121+2, 1)</f>
        <v>#N/A</v>
      </c>
      <c r="X121">
        <f t="shared" ref="X121:X128" si="51">IF($L121=X$24,$M121, 0)</f>
        <v>0</v>
      </c>
      <c r="Y121">
        <v>0</v>
      </c>
      <c r="Z121">
        <f t="shared" si="41"/>
        <v>0</v>
      </c>
      <c r="AA121">
        <v>0</v>
      </c>
      <c r="AB121">
        <f t="shared" si="42"/>
        <v>0</v>
      </c>
      <c r="AC121">
        <v>0</v>
      </c>
      <c r="AD121">
        <f t="shared" si="43"/>
        <v>0</v>
      </c>
      <c r="AE121">
        <v>0</v>
      </c>
      <c r="AF121">
        <f t="shared" si="44"/>
        <v>0</v>
      </c>
      <c r="AG121">
        <v>0</v>
      </c>
      <c r="AH121">
        <f t="shared" si="45"/>
        <v>0</v>
      </c>
      <c r="AI121">
        <v>0</v>
      </c>
      <c r="AJ121">
        <f t="shared" si="46"/>
        <v>0</v>
      </c>
      <c r="AK121">
        <v>0</v>
      </c>
      <c r="AL121">
        <f t="shared" si="47"/>
        <v>0</v>
      </c>
      <c r="AM121">
        <v>0</v>
      </c>
      <c r="AN121">
        <f t="shared" si="48"/>
        <v>0</v>
      </c>
      <c r="AO121">
        <v>0</v>
      </c>
      <c r="AP121">
        <f t="shared" si="49"/>
        <v>0</v>
      </c>
      <c r="AQ121">
        <v>0</v>
      </c>
      <c r="BX121">
        <v>0</v>
      </c>
      <c r="BY121">
        <v>0</v>
      </c>
      <c r="CA121">
        <v>96</v>
      </c>
      <c r="CB121">
        <f t="shared" si="50"/>
        <v>0</v>
      </c>
    </row>
    <row r="122" spans="8:80" x14ac:dyDescent="0.3">
      <c r="H122">
        <f t="shared" si="32"/>
        <v>0</v>
      </c>
      <c r="I122">
        <v>98</v>
      </c>
      <c r="J122">
        <f t="shared" si="33"/>
        <v>0</v>
      </c>
      <c r="K122">
        <f t="shared" si="34"/>
        <v>0</v>
      </c>
      <c r="L122">
        <f t="shared" si="35"/>
        <v>0</v>
      </c>
      <c r="M122">
        <f t="shared" si="36"/>
        <v>0</v>
      </c>
      <c r="N122">
        <f t="shared" si="37"/>
        <v>0</v>
      </c>
      <c r="P122">
        <f t="shared" si="38"/>
        <v>0</v>
      </c>
      <c r="R122" t="e">
        <f t="shared" si="39"/>
        <v>#N/A</v>
      </c>
      <c r="S122" t="e" cm="1">
        <f t="array" ref="S122">INDEX($A$25:$A$325, R122, 1)</f>
        <v>#N/A</v>
      </c>
      <c r="T122" t="e">
        <f t="shared" si="40"/>
        <v>#N/A</v>
      </c>
      <c r="U122" t="e" cm="1">
        <f t="array" ref="U122">INDEX($F$25:$F$325, R122, 1)</f>
        <v>#N/A</v>
      </c>
      <c r="V122" t="e" cm="1">
        <f t="array" ref="V122">INDEX($B$25:$B$325, R122+2, 1)</f>
        <v>#N/A</v>
      </c>
      <c r="X122">
        <f t="shared" si="51"/>
        <v>0</v>
      </c>
      <c r="Y122">
        <v>0</v>
      </c>
      <c r="Z122">
        <f t="shared" si="41"/>
        <v>0</v>
      </c>
      <c r="AA122">
        <v>0</v>
      </c>
      <c r="AB122">
        <f t="shared" si="42"/>
        <v>0</v>
      </c>
      <c r="AC122">
        <v>0</v>
      </c>
      <c r="AD122">
        <f t="shared" si="43"/>
        <v>0</v>
      </c>
      <c r="AE122">
        <v>0</v>
      </c>
      <c r="AF122">
        <f t="shared" si="44"/>
        <v>0</v>
      </c>
      <c r="AG122">
        <v>0</v>
      </c>
      <c r="AH122">
        <f t="shared" si="45"/>
        <v>0</v>
      </c>
      <c r="AI122">
        <v>0</v>
      </c>
      <c r="AJ122">
        <f t="shared" si="46"/>
        <v>0</v>
      </c>
      <c r="AK122">
        <v>0</v>
      </c>
      <c r="AL122">
        <f t="shared" si="47"/>
        <v>0</v>
      </c>
      <c r="AM122">
        <v>0</v>
      </c>
      <c r="AN122">
        <f t="shared" si="48"/>
        <v>0</v>
      </c>
      <c r="AO122">
        <v>0</v>
      </c>
      <c r="AP122">
        <f t="shared" si="49"/>
        <v>0</v>
      </c>
      <c r="AQ122">
        <v>0</v>
      </c>
      <c r="BX122">
        <v>0</v>
      </c>
      <c r="BY122">
        <v>0</v>
      </c>
      <c r="CA122">
        <v>97</v>
      </c>
      <c r="CB122">
        <f t="shared" si="50"/>
        <v>0</v>
      </c>
    </row>
    <row r="123" spans="8:80" x14ac:dyDescent="0.3">
      <c r="H123">
        <f t="shared" si="32"/>
        <v>0</v>
      </c>
      <c r="I123">
        <v>99</v>
      </c>
      <c r="J123">
        <f t="shared" si="33"/>
        <v>0</v>
      </c>
      <c r="K123">
        <f t="shared" si="34"/>
        <v>0</v>
      </c>
      <c r="L123">
        <f t="shared" si="35"/>
        <v>0</v>
      </c>
      <c r="M123">
        <f t="shared" si="36"/>
        <v>0</v>
      </c>
      <c r="N123">
        <f t="shared" si="37"/>
        <v>0</v>
      </c>
      <c r="P123">
        <f t="shared" si="38"/>
        <v>0</v>
      </c>
      <c r="R123" t="e">
        <f t="shared" si="39"/>
        <v>#N/A</v>
      </c>
      <c r="S123" t="e" cm="1">
        <f t="array" ref="S123">INDEX($A$25:$A$325, R123, 1)</f>
        <v>#N/A</v>
      </c>
      <c r="T123" t="e">
        <f t="shared" si="40"/>
        <v>#N/A</v>
      </c>
      <c r="U123" t="e" cm="1">
        <f t="array" ref="U123">INDEX($F$25:$F$325, R123, 1)</f>
        <v>#N/A</v>
      </c>
      <c r="V123" t="e" cm="1">
        <f t="array" ref="V123">INDEX($B$25:$B$325, R123+2, 1)</f>
        <v>#N/A</v>
      </c>
      <c r="X123">
        <f t="shared" si="51"/>
        <v>0</v>
      </c>
      <c r="Y123">
        <v>0</v>
      </c>
      <c r="Z123">
        <f t="shared" si="41"/>
        <v>0</v>
      </c>
      <c r="AA123">
        <v>0</v>
      </c>
      <c r="AB123">
        <f t="shared" si="42"/>
        <v>0</v>
      </c>
      <c r="AC123">
        <v>0</v>
      </c>
      <c r="AD123">
        <f t="shared" si="43"/>
        <v>0</v>
      </c>
      <c r="AE123">
        <v>0</v>
      </c>
      <c r="AF123">
        <f t="shared" si="44"/>
        <v>0</v>
      </c>
      <c r="AG123">
        <v>0</v>
      </c>
      <c r="AH123">
        <f t="shared" si="45"/>
        <v>0</v>
      </c>
      <c r="AI123">
        <v>0</v>
      </c>
      <c r="AJ123">
        <f t="shared" si="46"/>
        <v>0</v>
      </c>
      <c r="AK123">
        <v>0</v>
      </c>
      <c r="AL123">
        <f t="shared" si="47"/>
        <v>0</v>
      </c>
      <c r="AM123">
        <v>0</v>
      </c>
      <c r="AN123">
        <f t="shared" si="48"/>
        <v>0</v>
      </c>
      <c r="AO123">
        <v>0</v>
      </c>
      <c r="AP123">
        <f t="shared" si="49"/>
        <v>0</v>
      </c>
      <c r="AQ123">
        <v>0</v>
      </c>
      <c r="BX123">
        <v>0</v>
      </c>
      <c r="BY123">
        <v>0</v>
      </c>
      <c r="CA123">
        <v>98</v>
      </c>
      <c r="CB123">
        <f t="shared" si="50"/>
        <v>0</v>
      </c>
    </row>
    <row r="124" spans="8:80" x14ac:dyDescent="0.3">
      <c r="H124">
        <f t="shared" si="32"/>
        <v>0</v>
      </c>
      <c r="I124">
        <v>100</v>
      </c>
      <c r="J124">
        <f t="shared" si="33"/>
        <v>0</v>
      </c>
      <c r="K124">
        <f t="shared" si="34"/>
        <v>0</v>
      </c>
      <c r="L124">
        <f t="shared" si="35"/>
        <v>0</v>
      </c>
      <c r="M124">
        <f t="shared" si="36"/>
        <v>0</v>
      </c>
      <c r="N124">
        <f t="shared" si="37"/>
        <v>0</v>
      </c>
      <c r="P124">
        <f t="shared" si="38"/>
        <v>0</v>
      </c>
      <c r="R124" t="e">
        <f t="shared" si="39"/>
        <v>#N/A</v>
      </c>
      <c r="S124" t="e" cm="1">
        <f t="array" ref="S124">INDEX($A$25:$A$325, R124, 1)</f>
        <v>#N/A</v>
      </c>
      <c r="T124" t="e">
        <f t="shared" si="40"/>
        <v>#N/A</v>
      </c>
      <c r="U124" t="e" cm="1">
        <f t="array" ref="U124">INDEX($F$25:$F$325, R124, 1)</f>
        <v>#N/A</v>
      </c>
      <c r="V124" t="e" cm="1">
        <f t="array" ref="V124">INDEX($B$25:$B$325, R124+2, 1)</f>
        <v>#N/A</v>
      </c>
      <c r="X124">
        <f t="shared" si="51"/>
        <v>0</v>
      </c>
      <c r="Y124">
        <v>0</v>
      </c>
      <c r="Z124">
        <f t="shared" si="41"/>
        <v>0</v>
      </c>
      <c r="AA124">
        <v>0</v>
      </c>
      <c r="AB124">
        <f t="shared" si="42"/>
        <v>0</v>
      </c>
      <c r="AC124">
        <v>0</v>
      </c>
      <c r="AD124">
        <f t="shared" si="43"/>
        <v>0</v>
      </c>
      <c r="AE124">
        <v>0</v>
      </c>
      <c r="AF124">
        <f t="shared" si="44"/>
        <v>0</v>
      </c>
      <c r="AG124">
        <v>0</v>
      </c>
      <c r="AH124">
        <f t="shared" si="45"/>
        <v>0</v>
      </c>
      <c r="AI124">
        <v>0</v>
      </c>
      <c r="AJ124">
        <f t="shared" si="46"/>
        <v>0</v>
      </c>
      <c r="AK124">
        <v>0</v>
      </c>
      <c r="AL124">
        <f t="shared" si="47"/>
        <v>0</v>
      </c>
      <c r="AM124">
        <v>0</v>
      </c>
      <c r="AN124">
        <f t="shared" si="48"/>
        <v>0</v>
      </c>
      <c r="AO124">
        <v>0</v>
      </c>
      <c r="AP124">
        <f t="shared" si="49"/>
        <v>0</v>
      </c>
      <c r="AQ124">
        <v>0</v>
      </c>
      <c r="BX124">
        <v>0</v>
      </c>
      <c r="BY124">
        <v>0</v>
      </c>
      <c r="CA124">
        <v>99</v>
      </c>
      <c r="CB124">
        <f t="shared" si="50"/>
        <v>0</v>
      </c>
    </row>
    <row r="125" spans="8:80" x14ac:dyDescent="0.3">
      <c r="H125">
        <f t="shared" si="32"/>
        <v>0</v>
      </c>
      <c r="I125">
        <v>101</v>
      </c>
      <c r="J125">
        <f t="shared" si="33"/>
        <v>0</v>
      </c>
      <c r="K125">
        <f t="shared" si="34"/>
        <v>0</v>
      </c>
      <c r="L125">
        <f t="shared" si="35"/>
        <v>0</v>
      </c>
      <c r="M125">
        <f t="shared" si="36"/>
        <v>0</v>
      </c>
      <c r="N125">
        <f t="shared" si="37"/>
        <v>0</v>
      </c>
      <c r="P125">
        <f t="shared" si="38"/>
        <v>0</v>
      </c>
      <c r="R125" t="e">
        <f t="shared" si="39"/>
        <v>#N/A</v>
      </c>
      <c r="S125" t="e" cm="1">
        <f t="array" ref="S125">INDEX($A$25:$A$325, R125, 1)</f>
        <v>#N/A</v>
      </c>
      <c r="T125" t="e">
        <f t="shared" si="40"/>
        <v>#N/A</v>
      </c>
      <c r="U125" t="e" cm="1">
        <f t="array" ref="U125">INDEX($F$25:$F$325, R125, 1)</f>
        <v>#N/A</v>
      </c>
      <c r="V125" t="e" cm="1">
        <f t="array" ref="V125">INDEX($B$25:$B$325, R125+2, 1)</f>
        <v>#N/A</v>
      </c>
      <c r="X125">
        <f t="shared" si="51"/>
        <v>0</v>
      </c>
      <c r="Y125">
        <v>0</v>
      </c>
      <c r="Z125">
        <f t="shared" si="41"/>
        <v>0</v>
      </c>
      <c r="AA125">
        <v>0</v>
      </c>
      <c r="AB125">
        <f t="shared" si="42"/>
        <v>0</v>
      </c>
      <c r="AC125">
        <v>0</v>
      </c>
      <c r="AD125">
        <f t="shared" si="43"/>
        <v>0</v>
      </c>
      <c r="AE125">
        <v>0</v>
      </c>
      <c r="AF125">
        <f t="shared" si="44"/>
        <v>0</v>
      </c>
      <c r="AG125">
        <v>0</v>
      </c>
      <c r="AH125">
        <f t="shared" si="45"/>
        <v>0</v>
      </c>
      <c r="AI125">
        <v>0</v>
      </c>
      <c r="AJ125">
        <f t="shared" si="46"/>
        <v>0</v>
      </c>
      <c r="AK125">
        <v>0</v>
      </c>
      <c r="AL125">
        <f t="shared" si="47"/>
        <v>0</v>
      </c>
      <c r="AM125">
        <v>0</v>
      </c>
      <c r="AN125">
        <f t="shared" si="48"/>
        <v>0</v>
      </c>
      <c r="AO125">
        <v>0</v>
      </c>
      <c r="AP125">
        <f t="shared" si="49"/>
        <v>0</v>
      </c>
      <c r="AQ125">
        <v>0</v>
      </c>
      <c r="BX125">
        <v>0</v>
      </c>
      <c r="BY125">
        <v>0</v>
      </c>
      <c r="CA125">
        <v>100</v>
      </c>
      <c r="CB125">
        <f t="shared" si="50"/>
        <v>0</v>
      </c>
    </row>
    <row r="126" spans="8:80" x14ac:dyDescent="0.3">
      <c r="H126">
        <f t="shared" si="32"/>
        <v>0</v>
      </c>
      <c r="I126">
        <v>102</v>
      </c>
      <c r="J126">
        <f t="shared" si="33"/>
        <v>0</v>
      </c>
      <c r="K126">
        <f t="shared" si="34"/>
        <v>0</v>
      </c>
      <c r="L126">
        <f t="shared" si="35"/>
        <v>0</v>
      </c>
      <c r="M126">
        <f t="shared" si="36"/>
        <v>0</v>
      </c>
      <c r="N126">
        <f t="shared" si="37"/>
        <v>0</v>
      </c>
      <c r="P126">
        <f t="shared" si="38"/>
        <v>0</v>
      </c>
      <c r="R126" t="e">
        <f t="shared" si="39"/>
        <v>#N/A</v>
      </c>
      <c r="S126" t="e" cm="1">
        <f t="array" ref="S126">INDEX($A$25:$A$325, R126, 1)</f>
        <v>#N/A</v>
      </c>
      <c r="T126" t="e">
        <f t="shared" si="40"/>
        <v>#N/A</v>
      </c>
      <c r="U126" t="e" cm="1">
        <f t="array" ref="U126">INDEX($F$25:$F$325, R126, 1)</f>
        <v>#N/A</v>
      </c>
      <c r="V126" t="e" cm="1">
        <f t="array" ref="V126">INDEX($B$25:$B$325, R126+2, 1)</f>
        <v>#N/A</v>
      </c>
      <c r="X126">
        <f t="shared" si="51"/>
        <v>0</v>
      </c>
      <c r="Y126">
        <v>0</v>
      </c>
      <c r="Z126">
        <f t="shared" si="41"/>
        <v>0</v>
      </c>
      <c r="AA126">
        <v>0</v>
      </c>
      <c r="AB126">
        <f t="shared" si="42"/>
        <v>0</v>
      </c>
      <c r="AC126">
        <v>0</v>
      </c>
      <c r="AD126">
        <f t="shared" si="43"/>
        <v>0</v>
      </c>
      <c r="AE126">
        <v>0</v>
      </c>
      <c r="AF126">
        <f t="shared" si="44"/>
        <v>0</v>
      </c>
      <c r="AG126">
        <v>0</v>
      </c>
      <c r="AH126">
        <f t="shared" si="45"/>
        <v>0</v>
      </c>
      <c r="AI126">
        <v>0</v>
      </c>
      <c r="AJ126">
        <f t="shared" si="46"/>
        <v>0</v>
      </c>
      <c r="AK126">
        <v>0</v>
      </c>
      <c r="AL126">
        <f t="shared" si="47"/>
        <v>0</v>
      </c>
      <c r="AM126">
        <v>0</v>
      </c>
      <c r="AN126">
        <f t="shared" si="48"/>
        <v>0</v>
      </c>
      <c r="AO126">
        <v>0</v>
      </c>
      <c r="AP126">
        <f t="shared" si="49"/>
        <v>0</v>
      </c>
      <c r="AQ126">
        <v>0</v>
      </c>
      <c r="BX126">
        <v>0</v>
      </c>
      <c r="BY126">
        <v>0</v>
      </c>
      <c r="CA126">
        <v>101</v>
      </c>
      <c r="CB126">
        <f t="shared" si="50"/>
        <v>0</v>
      </c>
    </row>
    <row r="127" spans="8:80" x14ac:dyDescent="0.3">
      <c r="H127">
        <f t="shared" si="32"/>
        <v>0</v>
      </c>
      <c r="I127">
        <v>103</v>
      </c>
      <c r="J127">
        <f t="shared" si="33"/>
        <v>0</v>
      </c>
      <c r="K127">
        <f t="shared" si="34"/>
        <v>0</v>
      </c>
      <c r="L127">
        <f t="shared" si="35"/>
        <v>0</v>
      </c>
      <c r="M127">
        <f t="shared" si="36"/>
        <v>0</v>
      </c>
      <c r="N127">
        <f t="shared" si="37"/>
        <v>0</v>
      </c>
      <c r="P127">
        <f t="shared" si="38"/>
        <v>0</v>
      </c>
      <c r="R127" t="e">
        <f t="shared" si="39"/>
        <v>#N/A</v>
      </c>
      <c r="S127" t="e" cm="1">
        <f t="array" ref="S127">INDEX($A$25:$A$325, R127, 1)</f>
        <v>#N/A</v>
      </c>
      <c r="T127" t="e">
        <f t="shared" si="40"/>
        <v>#N/A</v>
      </c>
      <c r="U127" t="e" cm="1">
        <f t="array" ref="U127">INDEX($F$25:$F$325, R127, 1)</f>
        <v>#N/A</v>
      </c>
      <c r="V127" t="e" cm="1">
        <f t="array" ref="V127">INDEX($B$25:$B$325, R127+2, 1)</f>
        <v>#N/A</v>
      </c>
      <c r="X127">
        <f t="shared" si="51"/>
        <v>0</v>
      </c>
      <c r="Y127">
        <v>0</v>
      </c>
      <c r="Z127">
        <f t="shared" si="41"/>
        <v>0</v>
      </c>
      <c r="AA127">
        <v>0</v>
      </c>
      <c r="AB127">
        <f t="shared" si="42"/>
        <v>0</v>
      </c>
      <c r="AC127">
        <v>0</v>
      </c>
      <c r="AD127">
        <f t="shared" si="43"/>
        <v>0</v>
      </c>
      <c r="AE127">
        <v>0</v>
      </c>
      <c r="AF127">
        <f t="shared" si="44"/>
        <v>0</v>
      </c>
      <c r="AG127">
        <v>0</v>
      </c>
      <c r="AH127">
        <f t="shared" si="45"/>
        <v>0</v>
      </c>
      <c r="AI127">
        <v>0</v>
      </c>
      <c r="AJ127">
        <f t="shared" si="46"/>
        <v>0</v>
      </c>
      <c r="AK127">
        <v>0</v>
      </c>
      <c r="AL127">
        <f t="shared" si="47"/>
        <v>0</v>
      </c>
      <c r="AM127">
        <v>0</v>
      </c>
      <c r="AN127">
        <f t="shared" si="48"/>
        <v>0</v>
      </c>
      <c r="AO127">
        <v>0</v>
      </c>
      <c r="AP127">
        <f t="shared" si="49"/>
        <v>0</v>
      </c>
      <c r="AQ127">
        <v>0</v>
      </c>
      <c r="BX127">
        <v>0</v>
      </c>
      <c r="BY127">
        <v>0</v>
      </c>
      <c r="CA127">
        <v>102</v>
      </c>
      <c r="CB127">
        <f t="shared" si="50"/>
        <v>0</v>
      </c>
    </row>
    <row r="128" spans="8:80" x14ac:dyDescent="0.3">
      <c r="I128">
        <v>104</v>
      </c>
      <c r="J128">
        <f t="shared" si="33"/>
        <v>0</v>
      </c>
      <c r="K128">
        <f t="shared" si="34"/>
        <v>0</v>
      </c>
      <c r="L128">
        <f t="shared" si="35"/>
        <v>0</v>
      </c>
      <c r="M128">
        <f t="shared" si="36"/>
        <v>0</v>
      </c>
      <c r="N128">
        <f t="shared" si="37"/>
        <v>0</v>
      </c>
      <c r="P128">
        <f t="shared" si="38"/>
        <v>0</v>
      </c>
      <c r="R128" t="e">
        <f t="shared" si="39"/>
        <v>#N/A</v>
      </c>
      <c r="S128" t="e" cm="1">
        <f t="array" ref="S128">INDEX($A$25:$A$325, R128, 1)</f>
        <v>#N/A</v>
      </c>
      <c r="T128" t="e">
        <f t="shared" si="40"/>
        <v>#N/A</v>
      </c>
      <c r="U128" t="e" cm="1">
        <f t="array" ref="U128">INDEX($F$25:$F$325, R128, 1)</f>
        <v>#N/A</v>
      </c>
      <c r="V128" t="e" cm="1">
        <f t="array" ref="V128">INDEX($B$25:$B$325, R128+2, 1)</f>
        <v>#N/A</v>
      </c>
      <c r="X128">
        <f t="shared" si="51"/>
        <v>0</v>
      </c>
      <c r="Y128">
        <v>0</v>
      </c>
      <c r="Z128">
        <f t="shared" si="41"/>
        <v>0</v>
      </c>
      <c r="AA128">
        <v>0</v>
      </c>
      <c r="AB128">
        <f t="shared" si="42"/>
        <v>0</v>
      </c>
      <c r="AC128">
        <v>0</v>
      </c>
      <c r="AD128">
        <f t="shared" si="43"/>
        <v>0</v>
      </c>
      <c r="AE128">
        <v>0</v>
      </c>
      <c r="AF128">
        <f t="shared" si="44"/>
        <v>0</v>
      </c>
      <c r="AG128">
        <v>0</v>
      </c>
      <c r="AH128">
        <f t="shared" si="45"/>
        <v>0</v>
      </c>
      <c r="AI128">
        <v>-5</v>
      </c>
      <c r="AJ128">
        <f t="shared" si="46"/>
        <v>0</v>
      </c>
      <c r="AK128">
        <v>0</v>
      </c>
      <c r="AL128">
        <f t="shared" si="47"/>
        <v>0</v>
      </c>
      <c r="AM128">
        <v>0</v>
      </c>
      <c r="AN128">
        <f t="shared" si="48"/>
        <v>0</v>
      </c>
      <c r="AO128">
        <v>0</v>
      </c>
      <c r="AP128">
        <f t="shared" si="49"/>
        <v>0</v>
      </c>
      <c r="AQ128">
        <v>0</v>
      </c>
      <c r="BX128">
        <v>0</v>
      </c>
      <c r="BY128">
        <v>0</v>
      </c>
      <c r="CA128">
        <v>103</v>
      </c>
      <c r="CB128">
        <f t="shared" si="50"/>
        <v>0</v>
      </c>
    </row>
    <row r="129" spans="1:80" x14ac:dyDescent="0.3">
      <c r="BX129">
        <v>0</v>
      </c>
      <c r="BY129">
        <v>0</v>
      </c>
      <c r="CA129">
        <v>104</v>
      </c>
      <c r="CB129">
        <f t="shared" si="50"/>
        <v>0</v>
      </c>
    </row>
    <row r="130" spans="1:80" x14ac:dyDescent="0.3">
      <c r="A130">
        <v>0</v>
      </c>
      <c r="BX130">
        <v>0</v>
      </c>
      <c r="BY130">
        <v>0</v>
      </c>
      <c r="CA130">
        <v>105</v>
      </c>
      <c r="CB130">
        <f t="shared" si="50"/>
        <v>0</v>
      </c>
    </row>
    <row r="131" spans="1:80" x14ac:dyDescent="0.3">
      <c r="A131">
        <v>0</v>
      </c>
      <c r="BX131">
        <v>0</v>
      </c>
      <c r="BY131">
        <v>0</v>
      </c>
      <c r="CA131">
        <v>106</v>
      </c>
      <c r="CB131">
        <f t="shared" si="50"/>
        <v>0</v>
      </c>
    </row>
    <row r="132" spans="1:80" x14ac:dyDescent="0.3">
      <c r="A132">
        <v>0</v>
      </c>
      <c r="BX132">
        <v>0</v>
      </c>
      <c r="BY132">
        <v>0</v>
      </c>
      <c r="CA132">
        <v>107</v>
      </c>
      <c r="CB132">
        <f t="shared" si="50"/>
        <v>0</v>
      </c>
    </row>
    <row r="133" spans="1:80" x14ac:dyDescent="0.3">
      <c r="A133">
        <v>0</v>
      </c>
      <c r="BX133">
        <v>0</v>
      </c>
      <c r="BY133">
        <v>0</v>
      </c>
      <c r="CA133">
        <v>108</v>
      </c>
      <c r="CB133">
        <f t="shared" si="50"/>
        <v>0</v>
      </c>
    </row>
    <row r="134" spans="1:80" x14ac:dyDescent="0.3">
      <c r="A134">
        <v>0</v>
      </c>
      <c r="BX134">
        <v>0</v>
      </c>
      <c r="BY134">
        <v>0</v>
      </c>
      <c r="CA134">
        <v>109</v>
      </c>
      <c r="CB134">
        <f t="shared" si="50"/>
        <v>0</v>
      </c>
    </row>
    <row r="135" spans="1:80" x14ac:dyDescent="0.3">
      <c r="A135">
        <v>0</v>
      </c>
      <c r="BX135">
        <v>0</v>
      </c>
      <c r="BY135">
        <v>0</v>
      </c>
      <c r="CA135">
        <v>110</v>
      </c>
      <c r="CB135">
        <f t="shared" si="50"/>
        <v>0</v>
      </c>
    </row>
    <row r="136" spans="1:80" x14ac:dyDescent="0.3">
      <c r="A136">
        <v>0</v>
      </c>
      <c r="BX136">
        <v>0</v>
      </c>
      <c r="BY136">
        <v>0</v>
      </c>
      <c r="CA136">
        <v>111</v>
      </c>
      <c r="CB136">
        <f t="shared" si="50"/>
        <v>0</v>
      </c>
    </row>
    <row r="137" spans="1:80" x14ac:dyDescent="0.3">
      <c r="A137">
        <v>0</v>
      </c>
      <c r="BX137">
        <v>0</v>
      </c>
      <c r="BY137">
        <v>0</v>
      </c>
      <c r="CA137">
        <v>112</v>
      </c>
      <c r="CB137">
        <f t="shared" si="50"/>
        <v>0</v>
      </c>
    </row>
    <row r="138" spans="1:80" x14ac:dyDescent="0.3">
      <c r="A138">
        <v>0</v>
      </c>
      <c r="BX138">
        <v>0</v>
      </c>
      <c r="BY138">
        <v>0</v>
      </c>
      <c r="CA138">
        <v>113</v>
      </c>
      <c r="CB138">
        <f t="shared" si="50"/>
        <v>0</v>
      </c>
    </row>
    <row r="139" spans="1:80" x14ac:dyDescent="0.3">
      <c r="A139">
        <v>0</v>
      </c>
      <c r="BX139">
        <v>0</v>
      </c>
      <c r="BY139">
        <v>0</v>
      </c>
      <c r="CA139">
        <v>114</v>
      </c>
      <c r="CB139">
        <f t="shared" si="50"/>
        <v>0</v>
      </c>
    </row>
    <row r="140" spans="1:80" x14ac:dyDescent="0.3">
      <c r="A140">
        <v>0</v>
      </c>
      <c r="BX140">
        <v>0</v>
      </c>
      <c r="BY140">
        <v>0</v>
      </c>
      <c r="CA140">
        <v>115</v>
      </c>
      <c r="CB140">
        <f t="shared" si="50"/>
        <v>0</v>
      </c>
    </row>
    <row r="141" spans="1:80" x14ac:dyDescent="0.3">
      <c r="A141">
        <v>0</v>
      </c>
      <c r="BX141">
        <v>0</v>
      </c>
      <c r="BY141">
        <v>0</v>
      </c>
      <c r="CA141">
        <v>116</v>
      </c>
      <c r="CB141">
        <f t="shared" si="50"/>
        <v>0</v>
      </c>
    </row>
    <row r="142" spans="1:80" x14ac:dyDescent="0.3">
      <c r="A142">
        <v>0</v>
      </c>
      <c r="BX142">
        <v>0</v>
      </c>
      <c r="BY142">
        <v>0</v>
      </c>
      <c r="CA142">
        <v>117</v>
      </c>
      <c r="CB142">
        <f t="shared" si="50"/>
        <v>0</v>
      </c>
    </row>
    <row r="143" spans="1:80" x14ac:dyDescent="0.3">
      <c r="A143">
        <v>0</v>
      </c>
      <c r="BX143">
        <v>0</v>
      </c>
      <c r="BY143">
        <v>0</v>
      </c>
      <c r="CA143">
        <v>118</v>
      </c>
      <c r="CB143">
        <f t="shared" si="50"/>
        <v>0</v>
      </c>
    </row>
    <row r="144" spans="1:80" x14ac:dyDescent="0.3">
      <c r="A144">
        <v>0</v>
      </c>
      <c r="BX144">
        <v>0</v>
      </c>
      <c r="BY144">
        <v>0</v>
      </c>
      <c r="CA144">
        <v>119</v>
      </c>
      <c r="CB144">
        <f t="shared" si="50"/>
        <v>0</v>
      </c>
    </row>
    <row r="145" spans="1:80" x14ac:dyDescent="0.3">
      <c r="A145">
        <v>0</v>
      </c>
      <c r="BX145">
        <v>0</v>
      </c>
      <c r="BY145">
        <v>0</v>
      </c>
      <c r="CA145">
        <v>120</v>
      </c>
      <c r="CB145">
        <f t="shared" si="50"/>
        <v>0</v>
      </c>
    </row>
    <row r="146" spans="1:80" x14ac:dyDescent="0.3">
      <c r="A146">
        <v>0</v>
      </c>
      <c r="BX146">
        <v>0</v>
      </c>
      <c r="BY146">
        <v>0</v>
      </c>
      <c r="CA146">
        <v>121</v>
      </c>
      <c r="CB146">
        <f t="shared" si="50"/>
        <v>0</v>
      </c>
    </row>
    <row r="147" spans="1:80" x14ac:dyDescent="0.3">
      <c r="A147">
        <v>0</v>
      </c>
      <c r="BX147">
        <v>0</v>
      </c>
      <c r="BY147">
        <v>0</v>
      </c>
      <c r="CA147">
        <v>122</v>
      </c>
      <c r="CB147">
        <f t="shared" si="50"/>
        <v>0</v>
      </c>
    </row>
    <row r="148" spans="1:80" x14ac:dyDescent="0.3">
      <c r="A148">
        <v>0</v>
      </c>
      <c r="BX148">
        <v>0</v>
      </c>
      <c r="BY148">
        <v>0</v>
      </c>
      <c r="CA148">
        <v>123</v>
      </c>
      <c r="CB148">
        <f t="shared" si="50"/>
        <v>0</v>
      </c>
    </row>
    <row r="149" spans="1:80" x14ac:dyDescent="0.3">
      <c r="A149">
        <v>0</v>
      </c>
      <c r="BX149">
        <v>0</v>
      </c>
      <c r="BY149">
        <v>0</v>
      </c>
      <c r="CA149">
        <v>124</v>
      </c>
      <c r="CB149">
        <f t="shared" si="50"/>
        <v>0</v>
      </c>
    </row>
    <row r="150" spans="1:80" x14ac:dyDescent="0.3">
      <c r="A150">
        <v>0</v>
      </c>
      <c r="BX150">
        <v>0</v>
      </c>
      <c r="BY150">
        <v>0</v>
      </c>
      <c r="CA150">
        <v>125</v>
      </c>
      <c r="CB150">
        <f t="shared" si="50"/>
        <v>0</v>
      </c>
    </row>
    <row r="151" spans="1:80" x14ac:dyDescent="0.3">
      <c r="A151">
        <v>0</v>
      </c>
      <c r="BX151">
        <v>0</v>
      </c>
      <c r="BY151">
        <v>0</v>
      </c>
      <c r="CA151">
        <v>126</v>
      </c>
      <c r="CB151">
        <f t="shared" si="50"/>
        <v>0</v>
      </c>
    </row>
    <row r="152" spans="1:80" x14ac:dyDescent="0.3">
      <c r="A152">
        <v>0</v>
      </c>
      <c r="BX152">
        <v>0</v>
      </c>
      <c r="BY152">
        <v>0</v>
      </c>
      <c r="CA152">
        <v>127</v>
      </c>
      <c r="CB152">
        <f t="shared" si="50"/>
        <v>0</v>
      </c>
    </row>
    <row r="153" spans="1:80" x14ac:dyDescent="0.3">
      <c r="A153">
        <v>0</v>
      </c>
      <c r="BX153">
        <v>0</v>
      </c>
      <c r="BY153">
        <v>0</v>
      </c>
      <c r="CA153">
        <v>128</v>
      </c>
      <c r="CB153">
        <f t="shared" si="50"/>
        <v>0</v>
      </c>
    </row>
    <row r="154" spans="1:80" x14ac:dyDescent="0.3">
      <c r="A154">
        <v>0</v>
      </c>
      <c r="BX154">
        <v>0</v>
      </c>
      <c r="BY154">
        <v>0</v>
      </c>
      <c r="CA154">
        <v>129</v>
      </c>
      <c r="CB154">
        <f t="shared" si="50"/>
        <v>0</v>
      </c>
    </row>
    <row r="155" spans="1:80" x14ac:dyDescent="0.3">
      <c r="A155">
        <v>0</v>
      </c>
      <c r="BX155">
        <v>0</v>
      </c>
      <c r="BY155">
        <v>0</v>
      </c>
      <c r="CA155">
        <v>130</v>
      </c>
      <c r="CB155">
        <f t="shared" ref="CB155:CB172" si="52">IF(CA155&lt;=BZ$20,BY155,0)</f>
        <v>0</v>
      </c>
    </row>
    <row r="156" spans="1:80" x14ac:dyDescent="0.3">
      <c r="A156">
        <v>0</v>
      </c>
      <c r="BX156">
        <v>0</v>
      </c>
      <c r="BY156">
        <v>0</v>
      </c>
      <c r="CA156">
        <v>131</v>
      </c>
      <c r="CB156">
        <f t="shared" si="52"/>
        <v>0</v>
      </c>
    </row>
    <row r="157" spans="1:80" x14ac:dyDescent="0.3">
      <c r="A157">
        <v>0</v>
      </c>
      <c r="BX157">
        <v>0</v>
      </c>
      <c r="BY157">
        <v>0</v>
      </c>
      <c r="CA157">
        <v>132</v>
      </c>
      <c r="CB157">
        <f t="shared" si="52"/>
        <v>0</v>
      </c>
    </row>
    <row r="158" spans="1:80" x14ac:dyDescent="0.3">
      <c r="A158">
        <v>0</v>
      </c>
      <c r="BX158">
        <v>0</v>
      </c>
      <c r="BY158">
        <v>0</v>
      </c>
      <c r="CA158">
        <v>133</v>
      </c>
      <c r="CB158">
        <f t="shared" si="52"/>
        <v>0</v>
      </c>
    </row>
    <row r="159" spans="1:80" x14ac:dyDescent="0.3">
      <c r="A159">
        <v>0</v>
      </c>
      <c r="BX159">
        <v>0</v>
      </c>
      <c r="BY159">
        <v>0</v>
      </c>
      <c r="CA159">
        <v>134</v>
      </c>
      <c r="CB159">
        <f t="shared" si="52"/>
        <v>0</v>
      </c>
    </row>
    <row r="160" spans="1:80" x14ac:dyDescent="0.3">
      <c r="A160">
        <v>0</v>
      </c>
      <c r="BX160">
        <v>0</v>
      </c>
      <c r="BY160">
        <v>0</v>
      </c>
      <c r="CA160">
        <v>135</v>
      </c>
      <c r="CB160">
        <f t="shared" si="52"/>
        <v>0</v>
      </c>
    </row>
    <row r="161" spans="1:80" x14ac:dyDescent="0.3">
      <c r="A161">
        <v>0</v>
      </c>
      <c r="BX161">
        <v>0</v>
      </c>
      <c r="BY161">
        <v>0</v>
      </c>
      <c r="CA161">
        <v>136</v>
      </c>
      <c r="CB161">
        <f t="shared" si="52"/>
        <v>0</v>
      </c>
    </row>
    <row r="162" spans="1:80" x14ac:dyDescent="0.3">
      <c r="A162">
        <v>0</v>
      </c>
      <c r="BX162">
        <v>0</v>
      </c>
      <c r="BY162">
        <v>0</v>
      </c>
      <c r="CA162">
        <v>137</v>
      </c>
      <c r="CB162">
        <f t="shared" si="52"/>
        <v>0</v>
      </c>
    </row>
    <row r="163" spans="1:80" x14ac:dyDescent="0.3">
      <c r="A163">
        <v>0</v>
      </c>
      <c r="BX163">
        <v>0</v>
      </c>
      <c r="BY163">
        <v>0</v>
      </c>
      <c r="CA163">
        <v>138</v>
      </c>
      <c r="CB163">
        <f t="shared" si="52"/>
        <v>0</v>
      </c>
    </row>
    <row r="164" spans="1:80" x14ac:dyDescent="0.3">
      <c r="A164">
        <v>0</v>
      </c>
      <c r="BX164">
        <v>0</v>
      </c>
      <c r="BY164">
        <v>0</v>
      </c>
      <c r="CA164">
        <v>139</v>
      </c>
      <c r="CB164">
        <f t="shared" si="52"/>
        <v>0</v>
      </c>
    </row>
    <row r="165" spans="1:80" x14ac:dyDescent="0.3">
      <c r="A165">
        <v>0</v>
      </c>
      <c r="BX165">
        <v>0</v>
      </c>
      <c r="BY165">
        <v>0</v>
      </c>
      <c r="CA165">
        <v>140</v>
      </c>
      <c r="CB165">
        <f t="shared" si="52"/>
        <v>0</v>
      </c>
    </row>
    <row r="166" spans="1:80" x14ac:dyDescent="0.3">
      <c r="A166">
        <v>0</v>
      </c>
      <c r="BX166">
        <v>0</v>
      </c>
      <c r="BY166">
        <v>0</v>
      </c>
      <c r="CA166">
        <v>141</v>
      </c>
      <c r="CB166">
        <f t="shared" si="52"/>
        <v>0</v>
      </c>
    </row>
    <row r="167" spans="1:80" x14ac:dyDescent="0.3">
      <c r="A167">
        <v>0</v>
      </c>
      <c r="BX167">
        <v>0</v>
      </c>
      <c r="BY167">
        <v>0</v>
      </c>
      <c r="CA167">
        <v>142</v>
      </c>
      <c r="CB167">
        <f t="shared" si="52"/>
        <v>0</v>
      </c>
    </row>
    <row r="168" spans="1:80" x14ac:dyDescent="0.3">
      <c r="A168">
        <v>0</v>
      </c>
      <c r="BX168">
        <v>0</v>
      </c>
      <c r="BY168">
        <v>0</v>
      </c>
      <c r="CA168">
        <v>143</v>
      </c>
      <c r="CB168">
        <f t="shared" si="52"/>
        <v>0</v>
      </c>
    </row>
    <row r="169" spans="1:80" x14ac:dyDescent="0.3">
      <c r="A169">
        <v>0</v>
      </c>
      <c r="BX169">
        <v>0</v>
      </c>
      <c r="BY169">
        <v>0</v>
      </c>
      <c r="CA169">
        <v>144</v>
      </c>
      <c r="CB169">
        <f t="shared" si="52"/>
        <v>0</v>
      </c>
    </row>
    <row r="170" spans="1:80" x14ac:dyDescent="0.3">
      <c r="A170">
        <v>0</v>
      </c>
      <c r="BX170">
        <v>0</v>
      </c>
      <c r="BY170">
        <v>0</v>
      </c>
      <c r="CA170">
        <v>145</v>
      </c>
      <c r="CB170">
        <f t="shared" si="52"/>
        <v>0</v>
      </c>
    </row>
    <row r="171" spans="1:80" x14ac:dyDescent="0.3">
      <c r="A171">
        <v>0</v>
      </c>
      <c r="BX171">
        <v>0</v>
      </c>
      <c r="BY171">
        <v>0</v>
      </c>
      <c r="CA171">
        <v>146</v>
      </c>
      <c r="CB171">
        <f t="shared" si="52"/>
        <v>0</v>
      </c>
    </row>
    <row r="172" spans="1:80" x14ac:dyDescent="0.3">
      <c r="A172">
        <v>0</v>
      </c>
      <c r="BX172">
        <v>0</v>
      </c>
      <c r="BY172">
        <v>0</v>
      </c>
      <c r="CA172">
        <v>147</v>
      </c>
      <c r="CB172">
        <f t="shared" si="5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6B7A-C114-4994-9F49-B82DDE8C4C2E}">
  <dimension ref="A1:D31"/>
  <sheetViews>
    <sheetView workbookViewId="0">
      <selection activeCell="G17" sqref="G17"/>
    </sheetView>
  </sheetViews>
  <sheetFormatPr defaultRowHeight="14.4" x14ac:dyDescent="0.3"/>
  <sheetData>
    <row r="1" spans="1:4" x14ac:dyDescent="0.3">
      <c r="A1" t="s">
        <v>48</v>
      </c>
    </row>
    <row r="2" spans="1:4" x14ac:dyDescent="0.3">
      <c r="A2" t="s">
        <v>49</v>
      </c>
      <c r="B2" t="s">
        <v>50</v>
      </c>
      <c r="C2" t="s">
        <v>52</v>
      </c>
      <c r="D2" t="s">
        <v>54</v>
      </c>
    </row>
    <row r="3" spans="1:4" x14ac:dyDescent="0.3">
      <c r="A3" t="s">
        <v>43</v>
      </c>
      <c r="B3" t="s">
        <v>51</v>
      </c>
      <c r="C3" t="s">
        <v>53</v>
      </c>
      <c r="D3" t="s">
        <v>55</v>
      </c>
    </row>
    <row r="4" spans="1:4" x14ac:dyDescent="0.3">
      <c r="A4" t="s">
        <v>44</v>
      </c>
      <c r="B4" t="s">
        <v>58</v>
      </c>
      <c r="D4" t="s">
        <v>59</v>
      </c>
    </row>
    <row r="5" spans="1:4" x14ac:dyDescent="0.3">
      <c r="A5" t="s">
        <v>46</v>
      </c>
      <c r="B5" t="s">
        <v>56</v>
      </c>
      <c r="D5" t="s">
        <v>59</v>
      </c>
    </row>
    <row r="7" spans="1:4" x14ac:dyDescent="0.3">
      <c r="A7" t="s">
        <v>60</v>
      </c>
    </row>
    <row r="8" spans="1:4" x14ac:dyDescent="0.3">
      <c r="A8" t="s">
        <v>46</v>
      </c>
      <c r="B8" t="s">
        <v>56</v>
      </c>
      <c r="D8" t="s">
        <v>59</v>
      </c>
    </row>
    <row r="9" spans="1:4" x14ac:dyDescent="0.3">
      <c r="A9" t="s">
        <v>46</v>
      </c>
      <c r="B9" t="s">
        <v>57</v>
      </c>
      <c r="D9" t="s">
        <v>59</v>
      </c>
    </row>
    <row r="10" spans="1:4" x14ac:dyDescent="0.3">
      <c r="A10" t="s">
        <v>44</v>
      </c>
      <c r="B10" t="s">
        <v>58</v>
      </c>
      <c r="D10" t="s">
        <v>59</v>
      </c>
    </row>
    <row r="11" spans="1:4" x14ac:dyDescent="0.3">
      <c r="A11" t="s">
        <v>44</v>
      </c>
      <c r="B11" t="s">
        <v>66</v>
      </c>
      <c r="D11" t="s">
        <v>59</v>
      </c>
    </row>
    <row r="12" spans="1:4" x14ac:dyDescent="0.3">
      <c r="A12" t="s">
        <v>44</v>
      </c>
      <c r="B12" t="s">
        <v>61</v>
      </c>
      <c r="D12" t="s">
        <v>59</v>
      </c>
    </row>
    <row r="13" spans="1:4" x14ac:dyDescent="0.3">
      <c r="A13" t="s">
        <v>43</v>
      </c>
      <c r="B13" t="s">
        <v>62</v>
      </c>
      <c r="D13" t="s">
        <v>59</v>
      </c>
    </row>
    <row r="14" spans="1:4" x14ac:dyDescent="0.3">
      <c r="A14" t="s">
        <v>43</v>
      </c>
      <c r="B14" t="s">
        <v>67</v>
      </c>
      <c r="D14" t="s">
        <v>59</v>
      </c>
    </row>
    <row r="15" spans="1:4" x14ac:dyDescent="0.3">
      <c r="A15" t="s">
        <v>64</v>
      </c>
      <c r="B15" t="s">
        <v>63</v>
      </c>
      <c r="D15" t="s">
        <v>59</v>
      </c>
    </row>
    <row r="16" spans="1:4" x14ac:dyDescent="0.3">
      <c r="A16" t="s">
        <v>42</v>
      </c>
      <c r="B16" t="s">
        <v>65</v>
      </c>
      <c r="D16" t="s">
        <v>59</v>
      </c>
    </row>
    <row r="17" spans="1:4" x14ac:dyDescent="0.3">
      <c r="A17" t="s">
        <v>43</v>
      </c>
      <c r="B17" t="s">
        <v>51</v>
      </c>
      <c r="D17" t="s">
        <v>59</v>
      </c>
    </row>
    <row r="18" spans="1:4" x14ac:dyDescent="0.3">
      <c r="A18" t="s">
        <v>40</v>
      </c>
      <c r="B18" t="s">
        <v>199</v>
      </c>
      <c r="D18" t="s">
        <v>59</v>
      </c>
    </row>
    <row r="20" spans="1:4" x14ac:dyDescent="0.3">
      <c r="A20" t="s">
        <v>191</v>
      </c>
    </row>
    <row r="21" spans="1:4" x14ac:dyDescent="0.3">
      <c r="A21" t="s">
        <v>43</v>
      </c>
      <c r="B21" t="s">
        <v>51</v>
      </c>
      <c r="D21" t="s">
        <v>59</v>
      </c>
    </row>
    <row r="22" spans="1:4" x14ac:dyDescent="0.3">
      <c r="A22" t="s">
        <v>43</v>
      </c>
      <c r="B22" t="s">
        <v>67</v>
      </c>
      <c r="D22" t="s">
        <v>59</v>
      </c>
    </row>
    <row r="23" spans="1:4" x14ac:dyDescent="0.3">
      <c r="A23" t="s">
        <v>64</v>
      </c>
      <c r="B23" t="s">
        <v>63</v>
      </c>
      <c r="D23" t="s">
        <v>59</v>
      </c>
    </row>
    <row r="24" spans="1:4" x14ac:dyDescent="0.3">
      <c r="A24" t="s">
        <v>64</v>
      </c>
      <c r="B24" t="s">
        <v>192</v>
      </c>
      <c r="D24" t="s">
        <v>59</v>
      </c>
    </row>
    <row r="25" spans="1:4" x14ac:dyDescent="0.3">
      <c r="A25" t="s">
        <v>46</v>
      </c>
      <c r="B25" t="s">
        <v>57</v>
      </c>
      <c r="D25" t="s">
        <v>59</v>
      </c>
    </row>
    <row r="26" spans="1:4" x14ac:dyDescent="0.3">
      <c r="A26" t="s">
        <v>193</v>
      </c>
      <c r="B26" t="s">
        <v>61</v>
      </c>
      <c r="D26" t="s">
        <v>59</v>
      </c>
    </row>
    <row r="27" spans="1:4" x14ac:dyDescent="0.3">
      <c r="A27" t="s">
        <v>39</v>
      </c>
      <c r="B27" t="s">
        <v>194</v>
      </c>
      <c r="D27" t="s">
        <v>59</v>
      </c>
    </row>
    <row r="28" spans="1:4" x14ac:dyDescent="0.3">
      <c r="A28" t="s">
        <v>195</v>
      </c>
      <c r="B28" t="s">
        <v>196</v>
      </c>
      <c r="D28" t="s">
        <v>59</v>
      </c>
    </row>
    <row r="29" spans="1:4" x14ac:dyDescent="0.3">
      <c r="A29" t="s">
        <v>195</v>
      </c>
      <c r="B29" t="s">
        <v>197</v>
      </c>
      <c r="D29" t="s">
        <v>59</v>
      </c>
    </row>
    <row r="30" spans="1:4" x14ac:dyDescent="0.3">
      <c r="A30" t="s">
        <v>42</v>
      </c>
      <c r="B30" t="s">
        <v>198</v>
      </c>
      <c r="D30" t="s">
        <v>59</v>
      </c>
    </row>
    <row r="31" spans="1:4" x14ac:dyDescent="0.3">
      <c r="A31" t="s">
        <v>40</v>
      </c>
      <c r="B31" t="s">
        <v>199</v>
      </c>
      <c r="D3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points off perfect</vt:lpstr>
      <vt:lpstr>PFP</vt:lpstr>
      <vt:lpstr>injuries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Schwarzrock</dc:creator>
  <cp:lastModifiedBy>Erich Schwarzrock</cp:lastModifiedBy>
  <dcterms:created xsi:type="dcterms:W3CDTF">2015-06-05T18:17:20Z</dcterms:created>
  <dcterms:modified xsi:type="dcterms:W3CDTF">2025-12-19T23:24:02Z</dcterms:modified>
</cp:coreProperties>
</file>